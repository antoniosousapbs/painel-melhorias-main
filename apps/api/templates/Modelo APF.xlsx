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ntonio.sousa\Downloads\"/>
    </mc:Choice>
  </mc:AlternateContent>
  <xr:revisionPtr revIDLastSave="0" documentId="13_ncr:1_{64819207-0CB7-4B2A-9B33-E066E50B5576}" xr6:coauthVersionLast="47" xr6:coauthVersionMax="47" xr10:uidLastSave="{00000000-0000-0000-0000-000000000000}"/>
  <bookViews>
    <workbookView xWindow="-120" yWindow="-120" windowWidth="29040" windowHeight="15720" tabRatio="340" xr2:uid="{00000000-000D-0000-FFFF-FFFF00000000}"/>
  </bookViews>
  <sheets>
    <sheet name="Contagem" sheetId="1" r:id="rId1"/>
    <sheet name="Funções" sheetId="2" r:id="rId2"/>
    <sheet name="VSTS_ValidationWS_1" sheetId="4" state="veryHidden" r:id="rId3"/>
    <sheet name="TFS" sheetId="7" r:id="rId4"/>
  </sheets>
  <externalReferences>
    <externalReference r:id="rId5"/>
  </externalReferences>
  <definedNames>
    <definedName name="_xlnm.Print_Area" localSheetId="1">Funções!$B$5:$AW$10</definedName>
    <definedName name="BuscaUS">#REF!</definedName>
    <definedName name="CF">Funções!$G$11:$G$20</definedName>
    <definedName name="Data">Contagem!$Y$8</definedName>
    <definedName name="Lista_grupo_requisito">[1]!TABELA_EAP[Grupo de Requisito]</definedName>
    <definedName name="Projeto">Contagem!$G$7</definedName>
    <definedName name="Responsável">Contagem!$G$8</definedName>
    <definedName name="Revisão">Contagem!$Y$9</definedName>
    <definedName name="Revisor">Contagem!$G$9</definedName>
    <definedName name="_xlnm.Print_Titles" localSheetId="1">Funções!$5:$10</definedName>
    <definedName name="UFPB">Contagem!$Z$13</definedName>
    <definedName name="VAF">"$#REF!.$G$28"</definedName>
    <definedName name="VAFA">"$#REF!.$G$28"</definedName>
    <definedName name="VAFB">"$#REF!.$T$28"</definedName>
    <definedName name="VSTS_26e745d1_0478_4e70_bd54_f6b71568b18f_1" hidden="1">#REF!</definedName>
    <definedName name="VSTS_26e745d1_0478_4e70_bd54_f6b71568b18f_10166" hidden="1">#REF!</definedName>
    <definedName name="VSTS_26e745d1_0478_4e70_bd54_f6b71568b18f_10169" hidden="1">#REF!</definedName>
    <definedName name="VSTS_26e745d1_0478_4e70_bd54_f6b71568b18f_2" hidden="1">#REF!</definedName>
    <definedName name="VSTS_26e745d1_0478_4e70_bd54_f6b71568b18f_24" hidden="1">#REF!</definedName>
    <definedName name="VSTS_26e745d1_0478_4e70_bd54_f6b71568b18f_25" hidden="1">#REF!</definedName>
    <definedName name="VSTS_26e745d1_0478_4e70_bd54_f6b71568b18f_f26" hidden="1">#REF!</definedName>
    <definedName name="VSTS_26e745d1_0478_4e70_bd54_f6b71568b18f_f27" hidden="1">#REF!</definedName>
    <definedName name="VSTS_26e745d1_0478_4e70_bd54_f6b71568b18f_f28" hidden="1">#REF!</definedName>
    <definedName name="VSTS_26e745d1_0478_4e70_bd54_f6b71568b18f_n3" hidden="1">#REF!</definedName>
    <definedName name="VSTS_ValidationRange_5533f0a40d3848379e2fc238b2dfb31e" hidden="1">VSTS_ValidationWS_1!$B$1</definedName>
    <definedName name="VSTS_ValidationRange_856791ecaaf04dfa8d55a5aaf20b26e5" hidden="1">VSTS_ValidationWS_1!$A$1</definedName>
    <definedName name="VSTS_ValidationRange_a3e65bef7c7c40af9aa8c2187a0b53f9" hidden="1">VSTS_ValidationWS_1!$F$1</definedName>
    <definedName name="VSTS_ValidationRange_dd641f9661014b6b8bbe089b8de48298" hidden="1">VSTS_ValidationWS_1!$E$1</definedName>
    <definedName name="VSTS_ValidationRange_de346a70cb1b4b76aefbf97291c21832" hidden="1">VSTS_ValidationWS_1!$D$1</definedName>
    <definedName name="VSTS_ValidationRange_e3177b50771740fe9b46fcedaebbea0e" hidden="1">VSTS_ValidationWS_1!$C$1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J16" i="2"/>
  <c r="I16" i="2" s="1"/>
  <c r="K16" i="2"/>
  <c r="L16" i="2"/>
  <c r="M16" i="2"/>
  <c r="N16" i="2"/>
  <c r="O16" i="2"/>
  <c r="P16" i="2"/>
  <c r="Q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H19" i="2"/>
  <c r="J19" i="2"/>
  <c r="I19" i="2" s="1"/>
  <c r="K19" i="2"/>
  <c r="L19" i="2"/>
  <c r="M19" i="2"/>
  <c r="N19" i="2"/>
  <c r="O19" i="2"/>
  <c r="P19" i="2"/>
  <c r="Q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H14" i="2"/>
  <c r="J14" i="2"/>
  <c r="I14" i="2" s="1"/>
  <c r="K14" i="2"/>
  <c r="L14" i="2"/>
  <c r="M14" i="2"/>
  <c r="N14" i="2"/>
  <c r="O14" i="2"/>
  <c r="P14" i="2"/>
  <c r="Q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H15" i="2"/>
  <c r="J15" i="2"/>
  <c r="I15" i="2" s="1"/>
  <c r="K15" i="2"/>
  <c r="L15" i="2"/>
  <c r="M15" i="2"/>
  <c r="N15" i="2"/>
  <c r="O15" i="2"/>
  <c r="P15" i="2"/>
  <c r="Q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H18" i="2"/>
  <c r="J18" i="2"/>
  <c r="I18" i="2" s="1"/>
  <c r="K18" i="2"/>
  <c r="L18" i="2"/>
  <c r="M18" i="2"/>
  <c r="N18" i="2"/>
  <c r="O18" i="2"/>
  <c r="P18" i="2"/>
  <c r="Q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G13" i="2"/>
  <c r="AF13" i="2"/>
  <c r="AD13" i="2"/>
  <c r="AA13" i="2"/>
  <c r="Z13" i="2"/>
  <c r="Y13" i="2"/>
  <c r="X13" i="2"/>
  <c r="W13" i="2"/>
  <c r="V13" i="2"/>
  <c r="U13" i="2"/>
  <c r="T13" i="2"/>
  <c r="S13" i="2"/>
  <c r="J13" i="2"/>
  <c r="K13" i="2" s="1"/>
  <c r="H13" i="2"/>
  <c r="H17" i="2"/>
  <c r="J17" i="2"/>
  <c r="K17" i="2" s="1"/>
  <c r="L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L13" i="2" l="1"/>
  <c r="M13" i="2" s="1"/>
  <c r="I13" i="2"/>
  <c r="I17" i="2"/>
  <c r="M17" i="2"/>
  <c r="N17" i="2" s="1"/>
  <c r="P17" i="2" s="1"/>
  <c r="O17" i="2"/>
  <c r="Q17" i="2"/>
  <c r="H12" i="2"/>
  <c r="J12" i="2"/>
  <c r="I12" i="2" s="1"/>
  <c r="U12" i="2"/>
  <c r="V12" i="2"/>
  <c r="W12" i="2"/>
  <c r="Z12" i="2"/>
  <c r="AA12" i="2"/>
  <c r="AC12" i="2"/>
  <c r="AD12" i="2"/>
  <c r="AE12" i="2"/>
  <c r="AF12" i="2"/>
  <c r="AG12" i="2"/>
  <c r="AE13" i="2" l="1"/>
  <c r="AB13" i="2"/>
  <c r="N13" i="2"/>
  <c r="O13" i="2" s="1"/>
  <c r="AC13" i="2"/>
  <c r="L12" i="2"/>
  <c r="M12" i="2" s="1"/>
  <c r="K12" i="2"/>
  <c r="H11" i="2"/>
  <c r="J11" i="2"/>
  <c r="U11" i="2"/>
  <c r="V11" i="2"/>
  <c r="W11" i="2"/>
  <c r="Y11" i="2"/>
  <c r="Z11" i="2"/>
  <c r="AA11" i="2"/>
  <c r="AB11" i="2"/>
  <c r="AD11" i="2"/>
  <c r="AE11" i="2"/>
  <c r="AF11" i="2"/>
  <c r="H20" i="2"/>
  <c r="J20" i="2"/>
  <c r="I20" i="2" s="1"/>
  <c r="L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Y12" i="2" l="1"/>
  <c r="AB12" i="2"/>
  <c r="T12" i="2"/>
  <c r="S12" i="2"/>
  <c r="I11" i="2"/>
  <c r="L11" i="2"/>
  <c r="P13" i="2"/>
  <c r="Q13" i="2"/>
  <c r="N12" i="2"/>
  <c r="Q12" i="2" s="1"/>
  <c r="X12" i="2"/>
  <c r="M11" i="2"/>
  <c r="K11" i="2"/>
  <c r="M20" i="2"/>
  <c r="N20" i="2" s="1"/>
  <c r="Q20" i="2" s="1"/>
  <c r="P20" i="2"/>
  <c r="O20" i="2"/>
  <c r="K20" i="2"/>
  <c r="T11" i="2" l="1"/>
  <c r="S11" i="2"/>
  <c r="X11" i="2"/>
  <c r="AG11" i="2"/>
  <c r="P12" i="2"/>
  <c r="O12" i="2"/>
  <c r="N11" i="2"/>
  <c r="P11" i="2" s="1"/>
  <c r="AC11" i="2"/>
  <c r="O11" i="2" l="1"/>
  <c r="Q11" i="2"/>
  <c r="AU10" i="1" l="1"/>
  <c r="N21" i="2" l="1"/>
  <c r="Q21" i="2"/>
  <c r="B6" i="2"/>
  <c r="M6" i="2" l="1"/>
  <c r="U8" i="2" l="1"/>
  <c r="X8" i="2"/>
  <c r="AA8" i="2"/>
  <c r="AC8" i="2"/>
  <c r="AB8" i="2" l="1"/>
  <c r="AI19" i="1" s="1"/>
  <c r="S8" i="2"/>
  <c r="AL20" i="1" s="1"/>
  <c r="AL18" i="1"/>
  <c r="AJ19" i="1"/>
  <c r="AK20" i="1"/>
  <c r="AL19" i="1" l="1"/>
  <c r="AL21" i="1" l="1"/>
  <c r="T13" i="1"/>
  <c r="F6" i="2" l="1"/>
  <c r="Z17" i="1" s="1"/>
  <c r="L21" i="2"/>
  <c r="AU8" i="1"/>
  <c r="AU9" i="1"/>
  <c r="AY9" i="1" s="1"/>
  <c r="AY10" i="1"/>
  <c r="AU22" i="1"/>
  <c r="AY22" i="1" s="1"/>
  <c r="AU15" i="1"/>
  <c r="AY15" i="1" s="1"/>
  <c r="AU16" i="1"/>
  <c r="AY16" i="1" s="1"/>
  <c r="AU21" i="1"/>
  <c r="AU29" i="1"/>
  <c r="AY29" i="1" s="1"/>
  <c r="AU23" i="1"/>
  <c r="AY23" i="1" s="1"/>
  <c r="AU27" i="1"/>
  <c r="AU28" i="1"/>
  <c r="AY28" i="1" s="1"/>
  <c r="AU35" i="1"/>
  <c r="AY35" i="1" s="1"/>
  <c r="AU33" i="1"/>
  <c r="AU34" i="1"/>
  <c r="AY34" i="1" s="1"/>
  <c r="AU14" i="1"/>
  <c r="Y8" i="2"/>
  <c r="AM19" i="1" s="1"/>
  <c r="T12" i="1"/>
  <c r="Z8" i="2" l="1"/>
  <c r="AK19" i="1" s="1"/>
  <c r="AN19" i="1" s="1"/>
  <c r="Z13" i="1" s="1"/>
  <c r="AD8" i="2"/>
  <c r="AM18" i="1" s="1"/>
  <c r="AF8" i="2"/>
  <c r="AJ18" i="1" s="1"/>
  <c r="AE8" i="2"/>
  <c r="AK18" i="1" s="1"/>
  <c r="M21" i="2"/>
  <c r="AU18" i="1"/>
  <c r="AY14" i="1"/>
  <c r="AY18" i="1" s="1"/>
  <c r="AY21" i="1"/>
  <c r="AY24" i="1" s="1"/>
  <c r="AU24" i="1"/>
  <c r="AY27" i="1"/>
  <c r="AY30" i="1" s="1"/>
  <c r="AU30" i="1"/>
  <c r="AI13" i="1"/>
  <c r="AY33" i="1"/>
  <c r="AY36" i="1" s="1"/>
  <c r="AU36" i="1"/>
  <c r="AY8" i="1"/>
  <c r="AY11" i="1" s="1"/>
  <c r="AU11" i="1"/>
  <c r="AI10" i="1"/>
  <c r="F7" i="2"/>
  <c r="Z18" i="1" s="1"/>
  <c r="AG8" i="2"/>
  <c r="AI18" i="1" s="1"/>
  <c r="AK21" i="1" l="1"/>
  <c r="AN18" i="1"/>
  <c r="O21" i="2"/>
  <c r="P21" i="2"/>
  <c r="T14" i="1"/>
  <c r="Z20" i="1"/>
  <c r="Z30" i="1" s="1"/>
  <c r="T8" i="2"/>
  <c r="AM20" i="1" s="1"/>
  <c r="Z22" i="1" l="1"/>
  <c r="M7" i="2" s="1"/>
  <c r="Z28" i="1"/>
  <c r="W8" i="2"/>
  <c r="AI20" i="1" s="1"/>
  <c r="AI21" i="1" s="1"/>
  <c r="V8" i="2"/>
  <c r="AJ20" i="1" s="1"/>
  <c r="AJ21" i="1" s="1"/>
  <c r="Z27" i="1"/>
  <c r="Z31" i="1"/>
  <c r="Z26" i="1"/>
  <c r="Z29" i="1"/>
  <c r="AM21" i="1"/>
  <c r="Z32" i="1" l="1"/>
  <c r="AN20" i="1"/>
  <c r="Z14" i="1" s="1"/>
  <c r="AI7" i="1"/>
  <c r="BA18" i="1" l="1"/>
  <c r="BA30" i="1"/>
  <c r="BA11" i="1"/>
  <c r="BA36" i="1"/>
  <c r="BA24" i="1"/>
  <c r="AN21" i="1"/>
  <c r="Z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Reichelt Ferreira</author>
    <author/>
  </authors>
  <commentList>
    <comment ref="AF10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3" authorId="0" shapeId="0" xr:uid="{00000000-0006-0000-0000-000002000000}">
      <text>
        <r>
          <rPr>
            <sz val="8"/>
            <color indexed="81"/>
            <rFont val="Tahoma"/>
            <family val="2"/>
          </rPr>
          <t>Técnica de estimativa do tamanho desenvolvida pela NESMA. Basie-se apenas nos arquivos lógicos. Assume que cada ALI tem um peso de 35 PF e cada AIE um peso de 15 PF.</t>
        </r>
      </text>
    </comment>
    <comment ref="AT14" authorId="1" shapeId="0" xr:uid="{00000000-0006-0000-0000-000003000000}">
      <text>
        <r>
          <rPr>
            <sz val="8"/>
            <color indexed="8"/>
            <rFont val="Times New Roman"/>
            <family val="1"/>
          </rPr>
          <t>Saída Externa</t>
        </r>
      </text>
    </comment>
    <comment ref="AT21" authorId="1" shapeId="0" xr:uid="{00000000-0006-0000-0000-000004000000}">
      <text>
        <r>
          <rPr>
            <sz val="8"/>
            <color indexed="8"/>
            <rFont val="Times New Roman"/>
            <family val="1"/>
          </rPr>
          <t>Consulta Externa</t>
        </r>
      </text>
    </comment>
    <comment ref="AT27" authorId="1" shapeId="0" xr:uid="{00000000-0006-0000-0000-000005000000}">
      <text>
        <r>
          <rPr>
            <sz val="8"/>
            <color indexed="8"/>
            <rFont val="Times New Roman"/>
            <family val="1"/>
          </rPr>
          <t>Arquivo Lógico Interno</t>
        </r>
      </text>
    </comment>
    <comment ref="AT33" authorId="1" shapeId="0" xr:uid="{00000000-0006-0000-0000-000006000000}">
      <text>
        <r>
          <rPr>
            <sz val="8"/>
            <color indexed="8"/>
            <rFont val="Times New Roman"/>
            <family val="1"/>
          </rPr>
          <t>Arquivo de Interface Externa</t>
        </r>
      </text>
    </comment>
    <comment ref="B34" authorId="0" shapeId="0" xr:uid="{00000000-0006-0000-0000-000007000000}">
      <text>
        <r>
          <rPr>
            <sz val="8"/>
            <color indexed="81"/>
            <rFont val="Tahoma"/>
            <family val="2"/>
          </rPr>
          <t xml:space="preserve">O propósito de uma contagem de pontos de função, é fornecer uma resposta a um problema de negócios.
</t>
        </r>
        <r>
          <rPr>
            <b/>
            <sz val="8"/>
            <color indexed="81"/>
            <rFont val="Tahoma"/>
            <family val="2"/>
          </rPr>
          <t xml:space="preserve">Este propósito:  </t>
        </r>
        <r>
          <rPr>
            <sz val="8"/>
            <color indexed="81"/>
            <rFont val="Tahoma"/>
            <family val="2"/>
          </rPr>
          <t xml:space="preserve">
- Determina o tipo de contagem de pontos de função e o escopo da contagem necessária à obtenção da resposta da questão em análise;
- Influencia o posicionamento da fronteira entre o sistema em análise e seu ambiente.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100-000001000000}">
      <text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D10" authorId="0" shapeId="0" xr:uid="{00000000-0006-0000-0100-000002000000}">
      <text>
        <r>
          <rPr>
            <b/>
            <sz val="8"/>
            <color indexed="8"/>
            <rFont val="Tahoma"/>
            <family val="2"/>
          </rPr>
          <t xml:space="preserve">Tipo de Função:
</t>
        </r>
        <r>
          <rPr>
            <sz val="8"/>
            <color indexed="8"/>
            <rFont val="Tahoma"/>
            <family val="2"/>
          </rPr>
          <t xml:space="preserve">
ALI, AIE, EE, SE, CE</t>
        </r>
      </text>
    </comment>
    <comment ref="E10" authorId="0" shapeId="0" xr:uid="{00000000-0006-0000-0100-000003000000}">
      <text>
        <r>
          <rPr>
            <b/>
            <sz val="8"/>
            <color indexed="8"/>
            <rFont val="Tahoma"/>
            <family val="2"/>
          </rPr>
          <t>Tipo de Manutenção na função:
I</t>
        </r>
        <r>
          <rPr>
            <sz val="8"/>
            <color indexed="8"/>
            <rFont val="Tahoma"/>
            <family val="2"/>
          </rPr>
          <t xml:space="preserve"> -Inclusão  </t>
        </r>
        <r>
          <rPr>
            <b/>
            <sz val="8"/>
            <color indexed="8"/>
            <rFont val="Tahoma"/>
            <family val="2"/>
          </rPr>
          <t>A</t>
        </r>
        <r>
          <rPr>
            <sz val="8"/>
            <color indexed="8"/>
            <rFont val="Tahoma"/>
            <family val="2"/>
          </rPr>
          <t xml:space="preserve"> - Alteração  </t>
        </r>
        <r>
          <rPr>
            <b/>
            <sz val="8"/>
            <color indexed="8"/>
            <rFont val="Tahoma"/>
            <family val="2"/>
          </rPr>
          <t>E</t>
        </r>
        <r>
          <rPr>
            <sz val="8"/>
            <color indexed="8"/>
            <rFont val="Tahoma"/>
            <family val="2"/>
          </rPr>
          <t xml:space="preserve"> - Exclusão </t>
        </r>
      </text>
    </comment>
    <comment ref="F10" authorId="0" shapeId="0" xr:uid="{00000000-0006-0000-0100-000004000000}">
      <text>
        <r>
          <rPr>
            <sz val="8"/>
            <rFont val="Tahoma"/>
            <family val="2"/>
            <charset val="1"/>
          </rPr>
          <t>Quantidade de Tipos de Dados.</t>
        </r>
      </text>
    </comment>
    <comment ref="G10" authorId="0" shapeId="0" xr:uid="{00000000-0006-0000-0100-000005000000}">
      <text>
        <r>
          <rPr>
            <sz val="8"/>
            <rFont val="Tahoma"/>
            <family val="2"/>
            <charset val="1"/>
          </rPr>
          <t>Quantidade de Arquivos Referenciados</t>
        </r>
        <r>
          <rPr>
            <sz val="8"/>
            <rFont val="Arial"/>
            <family val="2"/>
          </rPr>
          <t>.
(Observe que esse campo só deve ser preenchido para Funções de Transação).</t>
        </r>
      </text>
    </comment>
    <comment ref="H10" authorId="0" shapeId="0" xr:uid="{00000000-0006-0000-0100-000006000000}">
      <text>
        <r>
          <rPr>
            <sz val="8"/>
            <rFont val="Tahoma"/>
            <family val="2"/>
            <charset val="1"/>
          </rPr>
          <t>Fator de Impacto</t>
        </r>
      </text>
    </comment>
    <comment ref="M10" authorId="0" shapeId="0" xr:uid="{00000000-0006-0000-0100-000007000000}">
      <text>
        <r>
          <rPr>
            <sz val="8"/>
            <rFont val="Tahoma"/>
            <family val="2"/>
            <charset val="1"/>
          </rPr>
          <t>Ponto de Função de Ajustado, considerando os valores dos deflatores.</t>
        </r>
      </text>
    </comment>
  </commentList>
</comments>
</file>

<file path=xl/sharedStrings.xml><?xml version="1.0" encoding="utf-8"?>
<sst xmlns="http://schemas.openxmlformats.org/spreadsheetml/2006/main" count="177" uniqueCount="128">
  <si>
    <t>Identificação da Contagem</t>
  </si>
  <si>
    <t>Resumo da Contagem</t>
  </si>
  <si>
    <t>Empresa</t>
  </si>
  <si>
    <t>Tipo de Função</t>
  </si>
  <si>
    <t>Complexidade Funcional</t>
  </si>
  <si>
    <t>Total por Complexidade</t>
  </si>
  <si>
    <t xml:space="preserve">% </t>
  </si>
  <si>
    <t>Aplicação</t>
  </si>
  <si>
    <t>Total PF</t>
  </si>
  <si>
    <t>Projeto</t>
  </si>
  <si>
    <t>Detalhada</t>
  </si>
  <si>
    <t>Responsável</t>
  </si>
  <si>
    <t>Criação</t>
  </si>
  <si>
    <t>EE</t>
  </si>
  <si>
    <t>Baixa</t>
  </si>
  <si>
    <t>x 3</t>
  </si>
  <si>
    <t>Revisor</t>
  </si>
  <si>
    <t>Revisão</t>
  </si>
  <si>
    <t>Média</t>
  </si>
  <si>
    <t>x 4</t>
  </si>
  <si>
    <t>Estimativa</t>
  </si>
  <si>
    <t>Alta</t>
  </si>
  <si>
    <t>x 6</t>
  </si>
  <si>
    <t>Tipo de contagem</t>
  </si>
  <si>
    <t>Sumário</t>
  </si>
  <si>
    <t>Tamanho Funcional (PF)</t>
  </si>
  <si>
    <t>Deflator</t>
  </si>
  <si>
    <t>PF Ajustado</t>
  </si>
  <si>
    <t>Total</t>
  </si>
  <si>
    <t>Projeto de Desenvolvimento</t>
  </si>
  <si>
    <t>Inclusão</t>
  </si>
  <si>
    <t/>
  </si>
  <si>
    <t>Projeto de Melhoria</t>
  </si>
  <si>
    <t>x</t>
  </si>
  <si>
    <t>Alteração</t>
  </si>
  <si>
    <t>Indicativa</t>
  </si>
  <si>
    <t>Aplicação ( Baseline )</t>
  </si>
  <si>
    <t>Exclusão</t>
  </si>
  <si>
    <t>SE</t>
  </si>
  <si>
    <t>x 5</t>
  </si>
  <si>
    <t>Apuração</t>
  </si>
  <si>
    <t>x 7</t>
  </si>
  <si>
    <t>Total de Pontos de Função</t>
  </si>
  <si>
    <t>PF</t>
  </si>
  <si>
    <t>ALI</t>
  </si>
  <si>
    <t>AIE</t>
  </si>
  <si>
    <t>CE</t>
  </si>
  <si>
    <t>TOTAL</t>
  </si>
  <si>
    <t>Total de Pontos de Função Ajustado</t>
  </si>
  <si>
    <t>Incluída</t>
  </si>
  <si>
    <t>Produtividade</t>
  </si>
  <si>
    <t>H/PF</t>
  </si>
  <si>
    <t>Alterada</t>
  </si>
  <si>
    <t>Quantidade de Horas</t>
  </si>
  <si>
    <t>H</t>
  </si>
  <si>
    <t>Excluída</t>
  </si>
  <si>
    <t>Unidade de Apuração</t>
  </si>
  <si>
    <t>Homem/Hora</t>
  </si>
  <si>
    <t>Custo por Unidade</t>
  </si>
  <si>
    <t>R$</t>
  </si>
  <si>
    <t>Custo pelo Total por Unidade de Apuração</t>
  </si>
  <si>
    <t>Veja aqui as orientações para preenchimento da planilha</t>
  </si>
  <si>
    <t>Ciclo Produtivo</t>
  </si>
  <si>
    <t>Etapa</t>
  </si>
  <si>
    <t>Participação</t>
  </si>
  <si>
    <t>Horas</t>
  </si>
  <si>
    <t>Gestão do Projeto</t>
  </si>
  <si>
    <t>Instruções de Uso</t>
  </si>
  <si>
    <t>Análise de Negócio/Técnica</t>
  </si>
  <si>
    <t>Análise de Testes</t>
  </si>
  <si>
    <t>x 10</t>
  </si>
  <si>
    <t>Codificação</t>
  </si>
  <si>
    <r>
      <t xml:space="preserve">Para conectar esse arquivo ao TFS, vá para a planilha (tab) TFS. Clique em </t>
    </r>
    <r>
      <rPr>
        <i/>
        <sz val="10"/>
        <rFont val="Tahoma"/>
        <family val="2"/>
      </rPr>
      <t>Configure</t>
    </r>
    <r>
      <rPr>
        <sz val="10"/>
        <rFont val="Tahoma"/>
        <family val="2"/>
      </rPr>
      <t>&gt;</t>
    </r>
    <r>
      <rPr>
        <i/>
        <sz val="10"/>
        <rFont val="Tahoma"/>
        <family val="2"/>
      </rPr>
      <t>Server Connection</t>
    </r>
    <r>
      <rPr>
        <sz val="10"/>
        <rFont val="Tahoma"/>
        <family val="2"/>
      </rPr>
      <t xml:space="preserve"> e conecte-se ao </t>
    </r>
    <r>
      <rPr>
        <i/>
        <sz val="10"/>
        <rFont val="Tahoma"/>
        <family val="2"/>
      </rPr>
      <t>Team Project</t>
    </r>
    <r>
      <rPr>
        <sz val="10"/>
        <rFont val="Tahoma"/>
        <family val="2"/>
      </rPr>
      <t xml:space="preserve">. Selecione a célula A1 e, na seção </t>
    </r>
    <r>
      <rPr>
        <i/>
        <sz val="10"/>
        <rFont val="Tahoma"/>
        <family val="2"/>
      </rPr>
      <t>Team</t>
    </r>
    <r>
      <rPr>
        <sz val="10"/>
        <rFont val="Tahoma"/>
        <family val="2"/>
      </rPr>
      <t xml:space="preserve">, clique em </t>
    </r>
    <r>
      <rPr>
        <i/>
        <sz val="10"/>
        <rFont val="Tahoma"/>
        <family val="2"/>
      </rPr>
      <t>New List</t>
    </r>
    <r>
      <rPr>
        <sz val="10"/>
        <rFont val="Tahoma"/>
        <family val="2"/>
      </rPr>
      <t xml:space="preserve">. Selecione a query </t>
    </r>
    <r>
      <rPr>
        <i/>
        <sz val="10"/>
        <rFont val="Tahoma"/>
        <family val="2"/>
      </rPr>
      <t>Analysis Backlog</t>
    </r>
    <r>
      <rPr>
        <sz val="10"/>
        <rFont val="Tahoma"/>
        <family val="2"/>
      </rPr>
      <t xml:space="preserve">, na iteração </t>
    </r>
    <r>
      <rPr>
        <i/>
        <sz val="10"/>
        <rFont val="Tahoma"/>
        <family val="2"/>
      </rPr>
      <t>Kanban Analysis</t>
    </r>
    <r>
      <rPr>
        <sz val="10"/>
        <rFont val="Tahoma"/>
        <family val="2"/>
      </rPr>
      <t xml:space="preserve">. Em todas as células da coluna </t>
    </r>
    <r>
      <rPr>
        <i/>
        <sz val="10"/>
        <rFont val="Tahoma"/>
        <family val="2"/>
      </rPr>
      <t>Story Points</t>
    </r>
    <r>
      <rPr>
        <sz val="10"/>
        <rFont val="Tahoma"/>
        <family val="2"/>
      </rPr>
      <t xml:space="preserve">, cole a fórmula </t>
    </r>
    <r>
      <rPr>
        <b/>
        <sz val="10"/>
        <color rgb="FFFF0000"/>
        <rFont val="Tahoma"/>
        <family val="2"/>
      </rPr>
      <t>=SOMASE(Table3[User Story (ID)];[@ID];Table3[EFP])</t>
    </r>
    <r>
      <rPr>
        <sz val="10"/>
        <rFont val="Tahoma"/>
        <family val="2"/>
      </rPr>
      <t xml:space="preserve">. Pronto! A planilha está conectada ao TFS. Agora será possível consultar todas as </t>
    </r>
    <r>
      <rPr>
        <i/>
        <sz val="10"/>
        <rFont val="Tahoma"/>
        <family val="2"/>
      </rPr>
      <t>User Stories</t>
    </r>
    <r>
      <rPr>
        <sz val="10"/>
        <rFont val="Tahoma"/>
        <family val="2"/>
      </rPr>
      <t xml:space="preserve"> e atribuir pontos para aquelas que estão no escopo da contagem.</t>
    </r>
  </si>
  <si>
    <t>x 15</t>
  </si>
  <si>
    <t>Execução dos Testes</t>
  </si>
  <si>
    <t>Homologação</t>
  </si>
  <si>
    <t>Total de Horas</t>
  </si>
  <si>
    <t>Propósito da Contagem</t>
  </si>
  <si>
    <t>Subsidiar a negociação de horas homens a remunerar o consórcio responsável por tornar o CE disponível na IB a partir da avaliação da aproximação do tamanho e da estimativa de produtividade do ASP.Net. Na aproximação do tamanho, ao invés do padrão da NESMA em que a complexidade média é utilizada, utiliza-se a complexidade alta em função do perfil se aproximar mais ao sistema analisado. Também, utiliza-se o fator de impacto padrão de 0,5 presente na planilha de contagem quando não se informam os dados de TD e AR para a contagem do EFP detalhado. Essas decisões são tomandas considerando o tempo dedicado às atividades de medição e o exigido no caso (não se trata de um contrato remunerado em PF).</t>
  </si>
  <si>
    <t>DESCRIÇÃO DA CUSTOMIZAÇÃO</t>
  </si>
  <si>
    <t xml:space="preserve"> Planilha de contagem de pontos de função</t>
  </si>
  <si>
    <t>Empresa: DOCOL</t>
  </si>
  <si>
    <t>Custos</t>
  </si>
  <si>
    <t>Custo por unidade</t>
  </si>
  <si>
    <t>Projeto: HPF Data de Programação</t>
  </si>
  <si>
    <t>Total PF Ajustado</t>
  </si>
  <si>
    <t>Custo</t>
  </si>
  <si>
    <t>APF</t>
  </si>
  <si>
    <r>
      <t xml:space="preserve">Horas </t>
    </r>
    <r>
      <rPr>
        <b/>
        <sz val="8"/>
        <color theme="1" tint="0.34998626667073579"/>
        <rFont val="Tahoma"/>
        <family val="2"/>
      </rPr>
      <t>(PF Ajustado)</t>
    </r>
  </si>
  <si>
    <t>TFS</t>
  </si>
  <si>
    <t>Processo Elementar ou Grupo de Dados</t>
  </si>
  <si>
    <t>Column5</t>
  </si>
  <si>
    <t>Tipo</t>
  </si>
  <si>
    <t>(I/A/E)</t>
  </si>
  <si>
    <t>TD</t>
  </si>
  <si>
    <t>AR/TR</t>
  </si>
  <si>
    <t>FI</t>
  </si>
  <si>
    <t>ctl</t>
  </si>
  <si>
    <t>c</t>
  </si>
  <si>
    <t>Complex.</t>
  </si>
  <si>
    <t>PFA</t>
  </si>
  <si>
    <t>Desenv.</t>
  </si>
  <si>
    <t>An. Teste</t>
  </si>
  <si>
    <t>Teste</t>
  </si>
  <si>
    <t>User Story (ID)</t>
  </si>
  <si>
    <t>SE Excluído</t>
  </si>
  <si>
    <t>CE Excluído</t>
  </si>
  <si>
    <t>EE Excluído</t>
  </si>
  <si>
    <t>AIE Excluído</t>
  </si>
  <si>
    <t>ALI Excluído</t>
  </si>
  <si>
    <t>SE Alterada</t>
  </si>
  <si>
    <t>CE Alterada</t>
  </si>
  <si>
    <t>EE Alterada</t>
  </si>
  <si>
    <t>AIE Alterado</t>
  </si>
  <si>
    <t>ALI Alterado</t>
  </si>
  <si>
    <t>SE Incluída</t>
  </si>
  <si>
    <t>CE Incluída</t>
  </si>
  <si>
    <t>EE Incluída</t>
  </si>
  <si>
    <t>AIE Incluído</t>
  </si>
  <si>
    <t>ALI Incluído</t>
  </si>
  <si>
    <t>Observações</t>
  </si>
  <si>
    <t>value doesn't matter</t>
  </si>
  <si>
    <t>readOnlyTestRange_@</t>
  </si>
  <si>
    <t>readOnlyTestRange_0</t>
  </si>
  <si>
    <t>readOnlyTestRange_dd-MMM-yy HH:mm</t>
  </si>
  <si>
    <t>readOnlyTestRange_General</t>
  </si>
  <si>
    <t>readOnlyTestRange_dd/MM/yyyy HH:mm</t>
  </si>
  <si>
    <t>readOnlyTestRange_M/d/yyyy h:mm AM/PM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</si>
</sst>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.00\ ;&quot; (&quot;#,##0.00\);&quot; -&quot;#\ ;@\ "/>
    <numFmt numFmtId="165" formatCode="0.0%"/>
    <numFmt numFmtId="166" formatCode="dd\-mmm\-yy\ hh:mm"/>
    <numFmt numFmtId="167" formatCode="#,##0.0"/>
    <numFmt numFmtId="168" formatCode="0.0"/>
    <numFmt numFmtId="169" formatCode="m/d/yyyy\ h:mm\ AM/PM"/>
  </numFmts>
  <fonts count="3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indexed="8"/>
      <name val="Times New Roman"/>
      <family val="1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name val="Tahoma"/>
      <family val="2"/>
      <charset val="1"/>
    </font>
    <font>
      <sz val="8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u/>
      <sz val="8"/>
      <color theme="10"/>
      <name val="Tahoma"/>
      <family val="2"/>
    </font>
    <font>
      <b/>
      <sz val="9"/>
      <name val="Tahoma"/>
      <family val="2"/>
    </font>
    <font>
      <sz val="10"/>
      <color indexed="39"/>
      <name val="Tahoma"/>
      <family val="2"/>
    </font>
    <font>
      <b/>
      <sz val="12"/>
      <name val="Tahoma"/>
      <family val="2"/>
    </font>
    <font>
      <b/>
      <sz val="9"/>
      <color theme="1"/>
      <name val="Tahoma"/>
      <family val="2"/>
    </font>
    <font>
      <sz val="9"/>
      <color theme="0"/>
      <name val="Tahoma"/>
      <family val="2"/>
    </font>
    <font>
      <b/>
      <sz val="9"/>
      <color theme="0"/>
      <name val="Tahoma"/>
      <family val="2"/>
    </font>
    <font>
      <sz val="9"/>
      <color theme="1"/>
      <name val="Tahoma"/>
      <family val="2"/>
    </font>
    <font>
      <b/>
      <sz val="8"/>
      <color indexed="9"/>
      <name val="Tahoma"/>
      <family val="2"/>
    </font>
    <font>
      <b/>
      <sz val="12"/>
      <color theme="0"/>
      <name val="Tahoma"/>
      <family val="2"/>
    </font>
    <font>
      <sz val="9"/>
      <color indexed="81"/>
      <name val="Tahoma"/>
      <family val="2"/>
    </font>
    <font>
      <b/>
      <sz val="11"/>
      <color theme="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theme="1" tint="0.34998626667073579"/>
      <name val="Tahoma"/>
      <family val="2"/>
    </font>
    <font>
      <b/>
      <sz val="10"/>
      <color rgb="FFFF0000"/>
      <name val="Tahoma"/>
      <family val="2"/>
    </font>
    <font>
      <i/>
      <sz val="10"/>
      <name val="Tahoma"/>
      <family val="2"/>
    </font>
    <font>
      <u/>
      <sz val="9"/>
      <color theme="1"/>
      <name val="Tahoma"/>
      <family val="2"/>
    </font>
    <font>
      <sz val="11.5"/>
      <name val="Tahoma"/>
      <family val="2"/>
      <charset val="1"/>
    </font>
    <font>
      <b/>
      <sz val="9"/>
      <name val="Tahoma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theme="8" tint="0.79998168889431442"/>
        <bgColor indexed="9"/>
      </patternFill>
    </fill>
    <fill>
      <patternFill patternType="solid">
        <fgColor rgb="FFF79646"/>
        <bgColor indexed="64"/>
      </patternFill>
    </fill>
    <fill>
      <patternFill patternType="solid">
        <fgColor rgb="FFF79646"/>
        <bgColor indexed="55"/>
      </patternFill>
    </fill>
    <fill>
      <patternFill patternType="solid">
        <fgColor rgb="FFFDE9D9"/>
        <bgColor indexed="64"/>
      </patternFill>
    </fill>
    <fill>
      <patternFill patternType="solid">
        <fgColor theme="4" tint="0.39997558519241921"/>
        <bgColor indexed="31"/>
      </patternFill>
    </fill>
    <fill>
      <patternFill patternType="solid">
        <fgColor theme="5" tint="0.39997558519241921"/>
        <bgColor indexed="24"/>
      </patternFill>
    </fill>
    <fill>
      <patternFill patternType="solid">
        <fgColor theme="6" tint="0.39997558519241921"/>
        <bgColor indexed="26"/>
      </patternFill>
    </fill>
    <fill>
      <patternFill patternType="solid">
        <fgColor theme="7" tint="0.39997558519241921"/>
        <bgColor indexed="49"/>
      </patternFill>
    </fill>
    <fill>
      <patternFill patternType="solid">
        <fgColor theme="8" tint="0.39997558519241921"/>
        <bgColor indexed="61"/>
      </patternFill>
    </fill>
    <fill>
      <patternFill patternType="solid">
        <fgColor theme="0"/>
        <bgColor indexed="64"/>
      </patternFill>
    </fill>
    <fill>
      <patternFill patternType="solid">
        <fgColor rgb="FF4479BA"/>
        <bgColor indexed="64"/>
      </patternFill>
    </fill>
    <fill>
      <patternFill patternType="solid">
        <fgColor theme="5" tint="0.79998168889431442"/>
        <bgColor indexed="31"/>
      </patternFill>
    </fill>
    <fill>
      <patternFill patternType="solid">
        <fgColor theme="0"/>
        <bgColor indexed="55"/>
      </patternFill>
    </fill>
    <fill>
      <patternFill patternType="solid">
        <fgColor theme="9"/>
        <bgColor indexed="64"/>
      </patternFill>
    </fill>
    <fill>
      <patternFill patternType="solid">
        <fgColor theme="9"/>
        <bgColor indexed="9"/>
      </patternFill>
    </fill>
    <fill>
      <patternFill patternType="solid">
        <fgColor theme="9"/>
        <bgColor indexed="41"/>
      </patternFill>
    </fill>
    <fill>
      <patternFill patternType="solid">
        <fgColor theme="9"/>
        <bgColor indexed="31"/>
      </patternFill>
    </fill>
    <fill>
      <patternFill patternType="solid">
        <fgColor theme="9"/>
        <bgColor indexed="26"/>
      </patternFill>
    </fill>
    <fill>
      <patternFill patternType="solid">
        <fgColor theme="0" tint="-0.14996795556505021"/>
        <bgColor indexed="31"/>
      </patternFill>
    </fill>
    <fill>
      <patternFill patternType="solid">
        <fgColor theme="6" tint="0.59996337778862885"/>
        <bgColor indexed="41"/>
      </pattern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hair">
        <color rgb="FFC00000"/>
      </left>
      <right style="hair">
        <color rgb="FFC00000"/>
      </right>
      <top style="hair">
        <color rgb="FFC00000"/>
      </top>
      <bottom style="hair">
        <color rgb="FFC00000"/>
      </bottom>
      <diagonal/>
    </border>
    <border>
      <left style="hair">
        <color rgb="FFC00000"/>
      </left>
      <right style="hair">
        <color rgb="FFC00000"/>
      </right>
      <top/>
      <bottom style="hair">
        <color rgb="FFC00000"/>
      </bottom>
      <diagonal/>
    </border>
    <border>
      <left/>
      <right style="hair">
        <color rgb="FFC00000"/>
      </right>
      <top style="hair">
        <color rgb="FFC00000"/>
      </top>
      <bottom style="hair">
        <color rgb="FFC00000"/>
      </bottom>
      <diagonal/>
    </border>
    <border>
      <left style="hair">
        <color rgb="FFC00000"/>
      </left>
      <right/>
      <top style="hair">
        <color rgb="FFC00000"/>
      </top>
      <bottom style="hair">
        <color rgb="FFC00000"/>
      </bottom>
      <diagonal/>
    </border>
    <border>
      <left/>
      <right/>
      <top style="thin">
        <color rgb="FFFF5B5B"/>
      </top>
      <bottom style="thin">
        <color rgb="FFFF5B5B"/>
      </bottom>
      <diagonal/>
    </border>
    <border>
      <left/>
      <right style="thin">
        <color rgb="FFFF5B5B"/>
      </right>
      <top style="thin">
        <color rgb="FFFF5B5B"/>
      </top>
      <bottom style="thin">
        <color rgb="FFFF5B5B"/>
      </bottom>
      <diagonal/>
    </border>
    <border>
      <left style="thin">
        <color rgb="FFFF5B5B"/>
      </left>
      <right style="thin">
        <color rgb="FFFF5B5B"/>
      </right>
      <top style="thin">
        <color rgb="FFFF5B5B"/>
      </top>
      <bottom style="thin">
        <color rgb="FFFF5B5B"/>
      </bottom>
      <diagonal/>
    </border>
    <border>
      <left style="thin">
        <color rgb="FFFF5B5B"/>
      </left>
      <right/>
      <top style="thin">
        <color rgb="FFFF5B5B"/>
      </top>
      <bottom style="thin">
        <color rgb="FFFF5B5B"/>
      </bottom>
      <diagonal/>
    </border>
    <border>
      <left style="hair">
        <color rgb="FFC00000"/>
      </left>
      <right style="hair">
        <color rgb="FFC00000"/>
      </right>
      <top style="hair">
        <color rgb="FFC00000"/>
      </top>
      <bottom style="thin">
        <color rgb="FFFF5B5B"/>
      </bottom>
      <diagonal/>
    </border>
    <border>
      <left/>
      <right/>
      <top/>
      <bottom style="thin">
        <color rgb="FFFF5B5B"/>
      </bottom>
      <diagonal/>
    </border>
    <border>
      <left/>
      <right style="hair">
        <color rgb="FFC00000"/>
      </right>
      <top/>
      <bottom style="hair">
        <color rgb="FFC00000"/>
      </bottom>
      <diagonal/>
    </border>
    <border>
      <left style="hair">
        <color rgb="FFC00000"/>
      </left>
      <right/>
      <top/>
      <bottom style="hair">
        <color rgb="FFC00000"/>
      </bottom>
      <diagonal/>
    </border>
    <border>
      <left/>
      <right style="hair">
        <color rgb="FFC00000"/>
      </right>
      <top style="hair">
        <color rgb="FFC00000"/>
      </top>
      <bottom style="thin">
        <color rgb="FFFF5B5B"/>
      </bottom>
      <diagonal/>
    </border>
    <border>
      <left style="hair">
        <color rgb="FFC00000"/>
      </left>
      <right/>
      <top style="hair">
        <color rgb="FFC00000"/>
      </top>
      <bottom style="thin">
        <color rgb="FFFF5B5B"/>
      </bottom>
      <diagonal/>
    </border>
    <border>
      <left style="thin">
        <color rgb="FFFF5B5B"/>
      </left>
      <right/>
      <top/>
      <bottom/>
      <diagonal/>
    </border>
    <border>
      <left/>
      <right style="thin">
        <color rgb="FFFF5B5B"/>
      </right>
      <top/>
      <bottom/>
      <diagonal/>
    </border>
    <border>
      <left style="thin">
        <color rgb="FFFF5B5B"/>
      </left>
      <right/>
      <top/>
      <bottom style="thin">
        <color rgb="FFFF5B5B"/>
      </bottom>
      <diagonal/>
    </border>
    <border>
      <left/>
      <right style="thin">
        <color rgb="FFFF5B5B"/>
      </right>
      <top/>
      <bottom style="thin">
        <color rgb="FFFF5B5B"/>
      </bottom>
      <diagonal/>
    </border>
    <border>
      <left/>
      <right/>
      <top style="thin">
        <color rgb="FFFF5B5B"/>
      </top>
      <bottom/>
      <diagonal/>
    </border>
    <border>
      <left style="thin">
        <color rgb="FFFF5B5B"/>
      </left>
      <right/>
      <top style="thin">
        <color rgb="FFFF5B5B"/>
      </top>
      <bottom/>
      <diagonal/>
    </border>
    <border>
      <left/>
      <right style="thin">
        <color rgb="FFFF5B5B"/>
      </right>
      <top style="thin">
        <color rgb="FFFF5B5B"/>
      </top>
      <bottom/>
      <diagonal/>
    </border>
    <border>
      <left style="thin">
        <color rgb="FFFF5B5B"/>
      </left>
      <right style="thin">
        <color rgb="FFFF5B5B"/>
      </right>
      <top/>
      <bottom/>
      <diagonal/>
    </border>
    <border>
      <left style="thin">
        <color rgb="FFFF5B5B"/>
      </left>
      <right style="thin">
        <color rgb="FFFF5B5B"/>
      </right>
      <top style="thin">
        <color rgb="FFFF5B5B"/>
      </top>
      <bottom/>
      <diagonal/>
    </border>
    <border>
      <left style="thin">
        <color rgb="FFFF5B5B"/>
      </left>
      <right style="thin">
        <color rgb="FFFF5B5B"/>
      </right>
      <top/>
      <bottom style="thin">
        <color rgb="FFFF5B5B"/>
      </bottom>
      <diagonal/>
    </border>
    <border>
      <left style="thin">
        <color rgb="FFFF4F4F"/>
      </left>
      <right/>
      <top style="thin">
        <color rgb="FFFF4F4F"/>
      </top>
      <bottom style="thin">
        <color rgb="FFFF4F4F"/>
      </bottom>
      <diagonal/>
    </border>
    <border>
      <left/>
      <right/>
      <top style="thin">
        <color rgb="FFFF4F4F"/>
      </top>
      <bottom style="thin">
        <color rgb="FFFF4F4F"/>
      </bottom>
      <diagonal/>
    </border>
    <border>
      <left style="thin">
        <color rgb="FFC00000"/>
      </left>
      <right style="thin">
        <color rgb="FFFF5B5B"/>
      </right>
      <top style="thin">
        <color rgb="FFFF4F4F"/>
      </top>
      <bottom style="thin">
        <color rgb="FFFF4F4F"/>
      </bottom>
      <diagonal/>
    </border>
    <border>
      <left style="thin">
        <color rgb="FFC00000"/>
      </left>
      <right style="thin">
        <color rgb="FFFF4F4F"/>
      </right>
      <top style="thin">
        <color rgb="FFFF4F4F"/>
      </top>
      <bottom style="thin">
        <color rgb="FFFF4F4F"/>
      </bottom>
      <diagonal/>
    </border>
    <border>
      <left style="thin">
        <color rgb="FFC00000"/>
      </left>
      <right/>
      <top style="thin">
        <color rgb="FFFF4F4F"/>
      </top>
      <bottom style="thin">
        <color rgb="FFC00000"/>
      </bottom>
      <diagonal/>
    </border>
    <border>
      <left/>
      <right/>
      <top style="thin">
        <color rgb="FFFF4F4F"/>
      </top>
      <bottom style="thin">
        <color rgb="FFC00000"/>
      </bottom>
      <diagonal/>
    </border>
    <border>
      <left/>
      <right style="thin">
        <color rgb="FFC00000"/>
      </right>
      <top style="thin">
        <color rgb="FFFF4F4F"/>
      </top>
      <bottom style="thin">
        <color rgb="FFC00000"/>
      </bottom>
      <diagonal/>
    </border>
    <border>
      <left style="thin">
        <color rgb="FFFF4F4F"/>
      </left>
      <right style="thin">
        <color rgb="FFFF4F4F"/>
      </right>
      <top style="thin">
        <color rgb="FFFF4F4F"/>
      </top>
      <bottom style="thin">
        <color rgb="FFC00000"/>
      </bottom>
      <diagonal/>
    </border>
  </borders>
  <cellStyleXfs count="6">
    <xf numFmtId="0" fontId="0" fillId="0" borderId="0"/>
    <xf numFmtId="9" fontId="7" fillId="0" borderId="0" applyFill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1" fillId="6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254">
    <xf numFmtId="0" fontId="0" fillId="0" borderId="0" xfId="0"/>
    <xf numFmtId="0" fontId="21" fillId="0" borderId="10" xfId="0" applyFont="1" applyBorder="1" applyAlignment="1" applyProtection="1">
      <alignment horizontal="left" vertical="center"/>
      <protection locked="0"/>
    </xf>
    <xf numFmtId="0" fontId="13" fillId="2" borderId="10" xfId="0" applyFont="1" applyFill="1" applyBorder="1" applyAlignment="1" applyProtection="1">
      <alignment horizontal="center"/>
      <protection locked="0"/>
    </xf>
    <xf numFmtId="0" fontId="21" fillId="7" borderId="10" xfId="0" applyFont="1" applyFill="1" applyBorder="1" applyAlignment="1" applyProtection="1">
      <alignment horizontal="center" wrapText="1"/>
      <protection hidden="1"/>
    </xf>
    <xf numFmtId="0" fontId="13" fillId="0" borderId="10" xfId="1" applyNumberFormat="1" applyFont="1" applyFill="1" applyBorder="1" applyAlignment="1" applyProtection="1">
      <alignment horizontal="right"/>
    </xf>
    <xf numFmtId="0" fontId="20" fillId="15" borderId="10" xfId="1" applyNumberFormat="1" applyFont="1" applyFill="1" applyBorder="1" applyAlignment="1" applyProtection="1">
      <alignment horizontal="right"/>
    </xf>
    <xf numFmtId="49" fontId="0" fillId="0" borderId="0" xfId="0" applyNumberFormat="1"/>
    <xf numFmtId="1" fontId="0" fillId="0" borderId="0" xfId="0" applyNumberFormat="1"/>
    <xf numFmtId="166" fontId="0" fillId="0" borderId="0" xfId="0" applyNumberFormat="1"/>
    <xf numFmtId="165" fontId="13" fillId="23" borderId="0" xfId="1" applyNumberFormat="1" applyFont="1" applyFill="1" applyBorder="1" applyAlignment="1" applyProtection="1"/>
    <xf numFmtId="0" fontId="20" fillId="24" borderId="10" xfId="1" applyNumberFormat="1" applyFont="1" applyFill="1" applyBorder="1" applyAlignment="1" applyProtection="1">
      <alignment horizontal="right"/>
    </xf>
    <xf numFmtId="0" fontId="12" fillId="0" borderId="0" xfId="0" applyFont="1"/>
    <xf numFmtId="0" fontId="12" fillId="0" borderId="23" xfId="0" applyFont="1" applyBorder="1"/>
    <xf numFmtId="0" fontId="12" fillId="0" borderId="24" xfId="0" applyFont="1" applyBorder="1"/>
    <xf numFmtId="0" fontId="13" fillId="0" borderId="18" xfId="0" applyFont="1" applyBorder="1"/>
    <xf numFmtId="0" fontId="13" fillId="0" borderId="0" xfId="0" applyFont="1"/>
    <xf numFmtId="0" fontId="15" fillId="0" borderId="0" xfId="0" applyFont="1" applyAlignment="1">
      <alignment horizontal="center"/>
    </xf>
    <xf numFmtId="0" fontId="12" fillId="0" borderId="19" xfId="0" applyFont="1" applyBorder="1"/>
    <xf numFmtId="0" fontId="13" fillId="23" borderId="18" xfId="0" applyFont="1" applyFill="1" applyBorder="1"/>
    <xf numFmtId="0" fontId="13" fillId="23" borderId="0" xfId="0" applyFont="1" applyFill="1"/>
    <xf numFmtId="0" fontId="12" fillId="23" borderId="19" xfId="0" applyFont="1" applyFill="1" applyBorder="1"/>
    <xf numFmtId="0" fontId="13" fillId="23" borderId="13" xfId="0" applyFont="1" applyFill="1" applyBorder="1"/>
    <xf numFmtId="0" fontId="13" fillId="23" borderId="0" xfId="0" applyFont="1" applyFill="1" applyAlignment="1">
      <alignment vertical="center"/>
    </xf>
    <xf numFmtId="0" fontId="12" fillId="0" borderId="0" xfId="0" applyFont="1" applyAlignment="1">
      <alignment horizontal="center"/>
    </xf>
    <xf numFmtId="0" fontId="14" fillId="3" borderId="22" xfId="5" applyFont="1" applyFill="1" applyBorder="1" applyAlignment="1" applyProtection="1"/>
    <xf numFmtId="0" fontId="0" fillId="23" borderId="13" xfId="0" applyFill="1" applyBorder="1"/>
    <xf numFmtId="0" fontId="15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3" fillId="17" borderId="0" xfId="0" applyFont="1" applyFill="1"/>
    <xf numFmtId="0" fontId="13" fillId="0" borderId="0" xfId="0" quotePrefix="1" applyFont="1"/>
    <xf numFmtId="0" fontId="13" fillId="0" borderId="13" xfId="0" applyFont="1" applyBorder="1" applyAlignment="1">
      <alignment horizontal="center"/>
    </xf>
    <xf numFmtId="0" fontId="13" fillId="23" borderId="20" xfId="0" applyFont="1" applyFill="1" applyBorder="1"/>
    <xf numFmtId="0" fontId="12" fillId="23" borderId="21" xfId="0" applyFont="1" applyFill="1" applyBorder="1"/>
    <xf numFmtId="0" fontId="16" fillId="0" borderId="0" xfId="0" applyFont="1" applyAlignment="1">
      <alignment horizontal="right"/>
    </xf>
    <xf numFmtId="0" fontId="12" fillId="0" borderId="13" xfId="0" applyFont="1" applyBorder="1"/>
    <xf numFmtId="0" fontId="20" fillId="5" borderId="10" xfId="3" applyFont="1" applyBorder="1" applyAlignment="1" applyProtection="1"/>
    <xf numFmtId="0" fontId="15" fillId="17" borderId="11" xfId="0" applyFont="1" applyFill="1" applyBorder="1"/>
    <xf numFmtId="0" fontId="15" fillId="17" borderId="8" xfId="0" applyFont="1" applyFill="1" applyBorder="1"/>
    <xf numFmtId="0" fontId="15" fillId="17" borderId="9" xfId="0" applyFont="1" applyFill="1" applyBorder="1"/>
    <xf numFmtId="0" fontId="15" fillId="17" borderId="10" xfId="0" applyFont="1" applyFill="1" applyBorder="1" applyAlignment="1">
      <alignment horizontal="center"/>
    </xf>
    <xf numFmtId="0" fontId="15" fillId="17" borderId="11" xfId="0" applyFont="1" applyFill="1" applyBorder="1" applyAlignment="1">
      <alignment vertical="top"/>
    </xf>
    <xf numFmtId="0" fontId="15" fillId="17" borderId="8" xfId="0" applyFont="1" applyFill="1" applyBorder="1" applyAlignment="1">
      <alignment vertical="top"/>
    </xf>
    <xf numFmtId="0" fontId="15" fillId="17" borderId="9" xfId="0" applyFont="1" applyFill="1" applyBorder="1" applyAlignment="1">
      <alignment vertical="top"/>
    </xf>
    <xf numFmtId="0" fontId="13" fillId="0" borderId="10" xfId="0" applyFont="1" applyBorder="1" applyAlignment="1">
      <alignment horizontal="right"/>
    </xf>
    <xf numFmtId="0" fontId="20" fillId="15" borderId="10" xfId="0" applyFont="1" applyFill="1" applyBorder="1" applyAlignment="1">
      <alignment horizontal="right"/>
    </xf>
    <xf numFmtId="0" fontId="13" fillId="0" borderId="25" xfId="0" applyFont="1" applyBorder="1"/>
    <xf numFmtId="0" fontId="12" fillId="0" borderId="25" xfId="0" applyFont="1" applyBorder="1"/>
    <xf numFmtId="0" fontId="12" fillId="0" borderId="18" xfId="0" applyFont="1" applyBorder="1"/>
    <xf numFmtId="0" fontId="21" fillId="23" borderId="8" xfId="4" applyFont="1" applyFill="1" applyBorder="1" applyAlignment="1" applyProtection="1"/>
    <xf numFmtId="0" fontId="21" fillId="23" borderId="9" xfId="4" applyFont="1" applyFill="1" applyBorder="1" applyAlignment="1" applyProtection="1"/>
    <xf numFmtId="0" fontId="12" fillId="0" borderId="20" xfId="0" applyFont="1" applyBorder="1"/>
    <xf numFmtId="0" fontId="12" fillId="0" borderId="21" xfId="0" applyFont="1" applyBorder="1"/>
    <xf numFmtId="0" fontId="13" fillId="0" borderId="10" xfId="0" applyFont="1" applyBorder="1" applyProtection="1">
      <protection locked="0"/>
    </xf>
    <xf numFmtId="0" fontId="13" fillId="23" borderId="22" xfId="0" applyFont="1" applyFill="1" applyBorder="1"/>
    <xf numFmtId="0" fontId="13" fillId="23" borderId="24" xfId="0" applyFont="1" applyFill="1" applyBorder="1"/>
    <xf numFmtId="0" fontId="15" fillId="0" borderId="10" xfId="0" applyFont="1" applyBorder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11" borderId="0" xfId="0" applyFont="1" applyFill="1"/>
    <xf numFmtId="0" fontId="13" fillId="11" borderId="19" xfId="0" applyFont="1" applyFill="1" applyBorder="1"/>
    <xf numFmtId="0" fontId="13" fillId="11" borderId="13" xfId="0" applyFont="1" applyFill="1" applyBorder="1"/>
    <xf numFmtId="0" fontId="13" fillId="11" borderId="21" xfId="0" applyFont="1" applyFill="1" applyBorder="1"/>
    <xf numFmtId="0" fontId="13" fillId="0" borderId="0" xfId="0" applyFont="1" applyAlignment="1">
      <alignment vertical="center"/>
    </xf>
    <xf numFmtId="0" fontId="13" fillId="13" borderId="0" xfId="0" applyFont="1" applyFill="1" applyAlignment="1">
      <alignment horizontal="left" vertical="center"/>
    </xf>
    <xf numFmtId="0" fontId="0" fillId="13" borderId="0" xfId="0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9" fillId="15" borderId="2" xfId="0" applyFont="1" applyFill="1" applyBorder="1"/>
    <xf numFmtId="0" fontId="19" fillId="10" borderId="3" xfId="0" applyFont="1" applyFill="1" applyBorder="1"/>
    <xf numFmtId="0" fontId="19" fillId="15" borderId="3" xfId="0" applyFont="1" applyFill="1" applyBorder="1"/>
    <xf numFmtId="0" fontId="19" fillId="16" borderId="3" xfId="0" applyFont="1" applyFill="1" applyBorder="1" applyAlignment="1">
      <alignment horizontal="center"/>
    </xf>
    <xf numFmtId="0" fontId="19" fillId="15" borderId="1" xfId="0" applyFont="1" applyFill="1" applyBorder="1"/>
    <xf numFmtId="0" fontId="21" fillId="12" borderId="10" xfId="0" applyFont="1" applyFill="1" applyBorder="1" applyAlignment="1" applyProtection="1">
      <alignment horizontal="center" wrapText="1"/>
      <protection hidden="1"/>
    </xf>
    <xf numFmtId="0" fontId="15" fillId="0" borderId="9" xfId="0" applyFont="1" applyBorder="1" applyAlignment="1">
      <alignment vertical="center"/>
    </xf>
    <xf numFmtId="0" fontId="15" fillId="23" borderId="0" xfId="0" applyFont="1" applyFill="1"/>
    <xf numFmtId="164" fontId="20" fillId="23" borderId="0" xfId="3" applyNumberFormat="1" applyFont="1" applyFill="1" applyBorder="1" applyAlignment="1" applyProtection="1"/>
    <xf numFmtId="0" fontId="13" fillId="13" borderId="29" xfId="0" applyFont="1" applyFill="1" applyBorder="1" applyAlignment="1">
      <alignment horizontal="left" vertical="center"/>
    </xf>
    <xf numFmtId="0" fontId="15" fillId="26" borderId="30" xfId="0" applyFont="1" applyFill="1" applyBorder="1" applyAlignment="1">
      <alignment horizontal="center"/>
    </xf>
    <xf numFmtId="0" fontId="13" fillId="23" borderId="31" xfId="0" applyFont="1" applyFill="1" applyBorder="1"/>
    <xf numFmtId="0" fontId="15" fillId="23" borderId="33" xfId="0" applyFont="1" applyFill="1" applyBorder="1"/>
    <xf numFmtId="0" fontId="15" fillId="23" borderId="34" xfId="0" applyFont="1" applyFill="1" applyBorder="1"/>
    <xf numFmtId="0" fontId="15" fillId="23" borderId="35" xfId="0" applyFont="1" applyFill="1" applyBorder="1" applyAlignment="1">
      <alignment horizontal="center"/>
    </xf>
    <xf numFmtId="0" fontId="21" fillId="32" borderId="10" xfId="0" applyFont="1" applyFill="1" applyBorder="1" applyAlignment="1" applyProtection="1">
      <alignment horizontal="center" wrapText="1"/>
      <protection hidden="1"/>
    </xf>
    <xf numFmtId="0" fontId="21" fillId="32" borderId="10" xfId="0" applyFont="1" applyFill="1" applyBorder="1" applyAlignment="1" applyProtection="1">
      <alignment horizontal="center"/>
      <protection hidden="1"/>
    </xf>
    <xf numFmtId="0" fontId="21" fillId="34" borderId="10" xfId="0" applyFont="1" applyFill="1" applyBorder="1" applyAlignment="1" applyProtection="1">
      <alignment horizontal="center"/>
      <protection locked="0"/>
    </xf>
    <xf numFmtId="168" fontId="21" fillId="32" borderId="0" xfId="0" applyNumberFormat="1" applyFont="1" applyFill="1" applyAlignment="1" applyProtection="1">
      <alignment horizontal="centerContinuous"/>
      <protection hidden="1"/>
    </xf>
    <xf numFmtId="167" fontId="21" fillId="25" borderId="0" xfId="0" applyNumberFormat="1" applyFont="1" applyFill="1" applyAlignment="1" applyProtection="1">
      <alignment horizontal="right"/>
      <protection hidden="1"/>
    </xf>
    <xf numFmtId="0" fontId="21" fillId="0" borderId="0" xfId="0" applyFont="1" applyAlignment="1" applyProtection="1">
      <alignment horizontal="right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1" fillId="3" borderId="0" xfId="0" applyFont="1" applyFill="1" applyAlignment="1" applyProtection="1">
      <alignment horizontal="center" vertical="center"/>
      <protection locked="0"/>
    </xf>
    <xf numFmtId="169" fontId="0" fillId="0" borderId="0" xfId="0" applyNumberFormat="1"/>
    <xf numFmtId="0" fontId="19" fillId="27" borderId="19" xfId="0" applyFont="1" applyFill="1" applyBorder="1" applyAlignment="1" applyProtection="1">
      <alignment horizontal="left" vertical="center"/>
      <protection locked="0"/>
    </xf>
    <xf numFmtId="0" fontId="19" fillId="27" borderId="25" xfId="0" applyFont="1" applyFill="1" applyBorder="1" applyAlignment="1" applyProtection="1">
      <alignment horizontal="left" vertical="center"/>
      <protection locked="0"/>
    </xf>
    <xf numFmtId="0" fontId="19" fillId="28" borderId="25" xfId="0" applyFont="1" applyFill="1" applyBorder="1" applyAlignment="1" applyProtection="1">
      <alignment horizontal="center"/>
      <protection locked="0"/>
    </xf>
    <xf numFmtId="0" fontId="19" fillId="29" borderId="25" xfId="0" applyFont="1" applyFill="1" applyBorder="1" applyAlignment="1" applyProtection="1">
      <alignment horizontal="center"/>
      <protection locked="0"/>
    </xf>
    <xf numFmtId="0" fontId="19" fillId="30" borderId="25" xfId="0" applyFont="1" applyFill="1" applyBorder="1" applyAlignment="1" applyProtection="1">
      <alignment horizontal="center" wrapText="1"/>
      <protection hidden="1"/>
    </xf>
    <xf numFmtId="0" fontId="19" fillId="27" borderId="25" xfId="0" applyFont="1" applyFill="1" applyBorder="1" applyAlignment="1" applyProtection="1">
      <alignment horizontal="center" wrapText="1"/>
      <protection hidden="1"/>
    </xf>
    <xf numFmtId="1" fontId="19" fillId="30" borderId="25" xfId="0" applyNumberFormat="1" applyFont="1" applyFill="1" applyBorder="1" applyAlignment="1" applyProtection="1">
      <alignment horizontal="center"/>
      <protection hidden="1"/>
    </xf>
    <xf numFmtId="168" fontId="19" fillId="30" borderId="25" xfId="0" applyNumberFormat="1" applyFont="1" applyFill="1" applyBorder="1" applyAlignment="1" applyProtection="1">
      <alignment horizontal="center"/>
      <protection hidden="1"/>
    </xf>
    <xf numFmtId="167" fontId="19" fillId="30" borderId="25" xfId="0" applyNumberFormat="1" applyFont="1" applyFill="1" applyBorder="1" applyAlignment="1" applyProtection="1">
      <alignment horizontal="right"/>
      <protection hidden="1"/>
    </xf>
    <xf numFmtId="0" fontId="19" fillId="27" borderId="25" xfId="0" applyFont="1" applyFill="1" applyBorder="1" applyAlignment="1" applyProtection="1">
      <alignment horizontal="right" vertical="center"/>
      <protection locked="0"/>
    </xf>
    <xf numFmtId="0" fontId="19" fillId="27" borderId="25" xfId="0" applyFont="1" applyFill="1" applyBorder="1" applyAlignment="1" applyProtection="1">
      <alignment horizontal="center" vertical="center"/>
      <protection locked="0"/>
    </xf>
    <xf numFmtId="0" fontId="19" fillId="31" borderId="25" xfId="0" applyFont="1" applyFill="1" applyBorder="1" applyAlignment="1" applyProtection="1">
      <alignment horizontal="center" vertical="center"/>
      <protection locked="0"/>
    </xf>
    <xf numFmtId="0" fontId="19" fillId="27" borderId="18" xfId="0" applyFont="1" applyFill="1" applyBorder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left" vertical="center" wrapText="1"/>
      <protection locked="0"/>
    </xf>
    <xf numFmtId="0" fontId="13" fillId="0" borderId="0" xfId="0" applyFont="1" applyAlignment="1">
      <alignment horizontal="left" vertical="center" wrapText="1"/>
    </xf>
    <xf numFmtId="0" fontId="13" fillId="35" borderId="0" xfId="0" applyFont="1" applyFill="1" applyAlignment="1">
      <alignment vertical="center"/>
    </xf>
    <xf numFmtId="0" fontId="13" fillId="0" borderId="0" xfId="0" applyFont="1" applyAlignment="1">
      <alignment horizontal="center"/>
    </xf>
    <xf numFmtId="0" fontId="13" fillId="36" borderId="0" xfId="0" applyFont="1" applyFill="1" applyAlignment="1">
      <alignment vertical="center"/>
    </xf>
    <xf numFmtId="0" fontId="13" fillId="37" borderId="0" xfId="0" applyFont="1" applyFill="1" applyAlignment="1">
      <alignment vertical="center"/>
    </xf>
    <xf numFmtId="0" fontId="13" fillId="38" borderId="0" xfId="0" applyFont="1" applyFill="1" applyAlignment="1">
      <alignment vertical="center"/>
    </xf>
    <xf numFmtId="168" fontId="13" fillId="38" borderId="0" xfId="0" applyNumberFormat="1" applyFont="1" applyFill="1" applyAlignment="1">
      <alignment horizontal="centerContinuous"/>
    </xf>
    <xf numFmtId="167" fontId="13" fillId="39" borderId="0" xfId="0" applyNumberFormat="1" applyFont="1" applyFill="1" applyAlignment="1">
      <alignment vertical="center"/>
    </xf>
    <xf numFmtId="0" fontId="21" fillId="12" borderId="0" xfId="0" applyFont="1" applyFill="1" applyAlignment="1" applyProtection="1">
      <alignment horizontal="center" wrapText="1"/>
      <protection hidden="1"/>
    </xf>
    <xf numFmtId="0" fontId="21" fillId="7" borderId="0" xfId="0" applyFont="1" applyFill="1" applyAlignment="1" applyProtection="1">
      <alignment horizontal="center" wrapText="1"/>
      <protection hidden="1"/>
    </xf>
    <xf numFmtId="0" fontId="21" fillId="32" borderId="0" xfId="0" applyFont="1" applyFill="1" applyAlignment="1" applyProtection="1">
      <alignment horizontal="center" wrapText="1"/>
      <protection hidden="1"/>
    </xf>
    <xf numFmtId="0" fontId="21" fillId="32" borderId="0" xfId="0" applyFont="1" applyFill="1" applyAlignment="1" applyProtection="1">
      <alignment horizontal="center"/>
      <protection hidden="1"/>
    </xf>
    <xf numFmtId="0" fontId="21" fillId="0" borderId="0" xfId="0" applyFont="1" applyAlignment="1" applyProtection="1">
      <alignment horizontal="left" vertical="center"/>
      <protection locked="0"/>
    </xf>
    <xf numFmtId="0" fontId="21" fillId="14" borderId="0" xfId="0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21" fillId="34" borderId="0" xfId="0" applyFont="1" applyFill="1" applyAlignment="1" applyProtection="1">
      <alignment horizontal="center"/>
      <protection locked="0"/>
    </xf>
    <xf numFmtId="0" fontId="21" fillId="33" borderId="0" xfId="0" applyFont="1" applyFill="1" applyAlignment="1" applyProtection="1">
      <alignment horizontal="center"/>
      <protection locked="0"/>
    </xf>
    <xf numFmtId="0" fontId="31" fillId="0" borderId="0" xfId="0" applyFont="1" applyAlignment="1" applyProtection="1">
      <alignment horizontal="left" vertical="center" wrapText="1"/>
      <protection locked="0"/>
    </xf>
    <xf numFmtId="0" fontId="15" fillId="0" borderId="0" xfId="0" applyFont="1" applyAlignment="1">
      <alignment horizontal="left" vertical="center" wrapText="1"/>
    </xf>
    <xf numFmtId="22" fontId="0" fillId="0" borderId="0" xfId="0" applyNumberFormat="1"/>
    <xf numFmtId="0" fontId="32" fillId="0" borderId="0" xfId="0" applyFont="1"/>
    <xf numFmtId="0" fontId="33" fillId="0" borderId="0" xfId="0" applyFont="1"/>
    <xf numFmtId="0" fontId="17" fillId="0" borderId="0" xfId="0" applyFont="1" applyAlignment="1">
      <alignment horizontal="left" vertical="center"/>
    </xf>
    <xf numFmtId="0" fontId="13" fillId="11" borderId="11" xfId="0" applyFont="1" applyFill="1" applyBorder="1" applyAlignment="1">
      <alignment horizontal="left"/>
    </xf>
    <xf numFmtId="0" fontId="13" fillId="11" borderId="9" xfId="0" applyFont="1" applyFill="1" applyBorder="1" applyAlignment="1">
      <alignment horizontal="left"/>
    </xf>
    <xf numFmtId="164" fontId="20" fillId="5" borderId="11" xfId="3" applyNumberFormat="1" applyFont="1" applyBorder="1" applyAlignment="1" applyProtection="1">
      <alignment horizontal="right"/>
    </xf>
    <xf numFmtId="164" fontId="20" fillId="5" borderId="9" xfId="3" applyNumberFormat="1" applyFont="1" applyBorder="1" applyAlignment="1" applyProtection="1">
      <alignment horizontal="right"/>
    </xf>
    <xf numFmtId="0" fontId="15" fillId="23" borderId="11" xfId="0" applyFont="1" applyFill="1" applyBorder="1" applyAlignment="1">
      <alignment horizontal="center"/>
    </xf>
    <xf numFmtId="0" fontId="15" fillId="23" borderId="8" xfId="0" applyFont="1" applyFill="1" applyBorder="1" applyAlignment="1">
      <alignment horizontal="center"/>
    </xf>
    <xf numFmtId="4" fontId="20" fillId="9" borderId="10" xfId="3" applyNumberFormat="1" applyFont="1" applyFill="1" applyBorder="1" applyAlignment="1" applyProtection="1">
      <alignment horizontal="right"/>
    </xf>
    <xf numFmtId="0" fontId="15" fillId="23" borderId="28" xfId="0" applyFont="1" applyFill="1" applyBorder="1" applyAlignment="1">
      <alignment horizontal="center"/>
    </xf>
    <xf numFmtId="0" fontId="15" fillId="23" borderId="29" xfId="0" applyFont="1" applyFill="1" applyBorder="1" applyAlignment="1">
      <alignment horizontal="center"/>
    </xf>
    <xf numFmtId="0" fontId="15" fillId="23" borderId="32" xfId="0" applyFont="1" applyFill="1" applyBorder="1" applyAlignment="1">
      <alignment horizontal="center"/>
    </xf>
    <xf numFmtId="0" fontId="15" fillId="23" borderId="33" xfId="0" applyFont="1" applyFill="1" applyBorder="1" applyAlignment="1">
      <alignment horizontal="center"/>
    </xf>
    <xf numFmtId="0" fontId="15" fillId="23" borderId="9" xfId="0" applyFont="1" applyFill="1" applyBorder="1" applyAlignment="1">
      <alignment horizontal="center"/>
    </xf>
    <xf numFmtId="0" fontId="11" fillId="0" borderId="23" xfId="0" applyFont="1" applyBorder="1" applyAlignment="1">
      <alignment horizontal="justify" vertical="top" wrapText="1"/>
    </xf>
    <xf numFmtId="0" fontId="11" fillId="0" borderId="22" xfId="0" applyFont="1" applyBorder="1" applyAlignment="1">
      <alignment horizontal="justify" vertical="top" wrapText="1"/>
    </xf>
    <xf numFmtId="0" fontId="11" fillId="0" borderId="24" xfId="0" applyFont="1" applyBorder="1" applyAlignment="1">
      <alignment horizontal="justify" vertical="top" wrapText="1"/>
    </xf>
    <xf numFmtId="0" fontId="11" fillId="0" borderId="18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11" fillId="0" borderId="19" xfId="0" applyFont="1" applyBorder="1" applyAlignment="1">
      <alignment horizontal="justify" vertical="top" wrapText="1"/>
    </xf>
    <xf numFmtId="0" fontId="11" fillId="0" borderId="20" xfId="0" applyFont="1" applyBorder="1" applyAlignment="1">
      <alignment horizontal="justify" vertical="top" wrapText="1"/>
    </xf>
    <xf numFmtId="0" fontId="11" fillId="0" borderId="13" xfId="0" applyFont="1" applyBorder="1" applyAlignment="1">
      <alignment horizontal="justify" vertical="top" wrapText="1"/>
    </xf>
    <xf numFmtId="0" fontId="11" fillId="0" borderId="21" xfId="0" applyFont="1" applyBorder="1" applyAlignment="1">
      <alignment horizontal="justify" vertical="top" wrapText="1"/>
    </xf>
    <xf numFmtId="0" fontId="13" fillId="0" borderId="23" xfId="0" applyFont="1" applyBorder="1" applyAlignment="1" applyProtection="1">
      <alignment horizontal="left" vertical="top" wrapText="1"/>
      <protection locked="0"/>
    </xf>
    <xf numFmtId="0" fontId="13" fillId="0" borderId="22" xfId="0" applyFont="1" applyBorder="1" applyAlignment="1" applyProtection="1">
      <alignment horizontal="left" vertical="top" wrapText="1"/>
      <protection locked="0"/>
    </xf>
    <xf numFmtId="0" fontId="13" fillId="0" borderId="24" xfId="0" applyFont="1" applyBorder="1" applyAlignment="1" applyProtection="1">
      <alignment horizontal="left" vertical="top" wrapText="1"/>
      <protection locked="0"/>
    </xf>
    <xf numFmtId="0" fontId="13" fillId="0" borderId="18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19" xfId="0" applyFont="1" applyBorder="1" applyAlignment="1" applyProtection="1">
      <alignment horizontal="left" vertical="top" wrapText="1"/>
      <protection locked="0"/>
    </xf>
    <xf numFmtId="0" fontId="13" fillId="0" borderId="20" xfId="0" applyFont="1" applyBorder="1" applyAlignment="1" applyProtection="1">
      <alignment horizontal="left" vertical="top" wrapText="1"/>
      <protection locked="0"/>
    </xf>
    <xf numFmtId="0" fontId="13" fillId="0" borderId="13" xfId="0" applyFont="1" applyBorder="1" applyAlignment="1" applyProtection="1">
      <alignment horizontal="left" vertical="top" wrapText="1"/>
      <protection locked="0"/>
    </xf>
    <xf numFmtId="0" fontId="13" fillId="0" borderId="21" xfId="0" applyFont="1" applyBorder="1" applyAlignment="1" applyProtection="1">
      <alignment horizontal="left" vertical="top" wrapText="1"/>
      <protection locked="0"/>
    </xf>
    <xf numFmtId="0" fontId="13" fillId="11" borderId="10" xfId="0" applyFont="1" applyFill="1" applyBorder="1"/>
    <xf numFmtId="0" fontId="13" fillId="11" borderId="11" xfId="0" applyFont="1" applyFill="1" applyBorder="1" applyAlignment="1">
      <alignment horizontal="right"/>
    </xf>
    <xf numFmtId="0" fontId="13" fillId="11" borderId="9" xfId="0" applyFont="1" applyFill="1" applyBorder="1" applyAlignment="1">
      <alignment horizontal="right"/>
    </xf>
    <xf numFmtId="2" fontId="13" fillId="0" borderId="11" xfId="0" applyNumberFormat="1" applyFont="1" applyBorder="1" applyAlignment="1" applyProtection="1">
      <alignment horizontal="center"/>
      <protection locked="0"/>
    </xf>
    <xf numFmtId="2" fontId="13" fillId="0" borderId="8" xfId="0" applyNumberFormat="1" applyFont="1" applyBorder="1" applyAlignment="1" applyProtection="1">
      <alignment horizontal="center"/>
      <protection locked="0"/>
    </xf>
    <xf numFmtId="2" fontId="13" fillId="0" borderId="9" xfId="0" applyNumberFormat="1" applyFont="1" applyBorder="1" applyAlignment="1" applyProtection="1">
      <alignment horizontal="center"/>
      <protection locked="0"/>
    </xf>
    <xf numFmtId="164" fontId="8" fillId="24" borderId="11" xfId="3" applyNumberFormat="1" applyFont="1" applyFill="1" applyBorder="1" applyAlignment="1" applyProtection="1"/>
    <xf numFmtId="164" fontId="8" fillId="24" borderId="8" xfId="3" applyNumberFormat="1" applyFont="1" applyFill="1" applyBorder="1" applyAlignment="1" applyProtection="1"/>
    <xf numFmtId="164" fontId="8" fillId="24" borderId="9" xfId="3" applyNumberFormat="1" applyFont="1" applyFill="1" applyBorder="1" applyAlignment="1" applyProtection="1"/>
    <xf numFmtId="164" fontId="8" fillId="5" borderId="10" xfId="3" applyNumberFormat="1" applyFont="1" applyBorder="1" applyAlignment="1" applyProtection="1"/>
    <xf numFmtId="0" fontId="13" fillId="0" borderId="8" xfId="0" applyFont="1" applyBorder="1" applyAlignment="1">
      <alignment horizontal="center"/>
    </xf>
    <xf numFmtId="0" fontId="18" fillId="6" borderId="11" xfId="4" applyFont="1" applyBorder="1" applyAlignment="1" applyProtection="1">
      <alignment horizontal="center"/>
    </xf>
    <xf numFmtId="0" fontId="18" fillId="6" borderId="8" xfId="4" applyFont="1" applyBorder="1" applyAlignment="1" applyProtection="1">
      <alignment horizontal="center"/>
    </xf>
    <xf numFmtId="0" fontId="18" fillId="6" borderId="9" xfId="4" applyFont="1" applyBorder="1" applyAlignment="1" applyProtection="1">
      <alignment horizontal="center"/>
    </xf>
    <xf numFmtId="0" fontId="15" fillId="17" borderId="11" xfId="2" applyFont="1" applyFill="1" applyBorder="1" applyAlignment="1" applyProtection="1">
      <alignment horizontal="left"/>
    </xf>
    <xf numFmtId="0" fontId="15" fillId="17" borderId="8" xfId="2" applyFont="1" applyFill="1" applyBorder="1" applyAlignment="1" applyProtection="1">
      <alignment horizontal="left"/>
    </xf>
    <xf numFmtId="0" fontId="15" fillId="17" borderId="9" xfId="2" applyFont="1" applyFill="1" applyBorder="1" applyAlignment="1" applyProtection="1">
      <alignment horizontal="left"/>
    </xf>
    <xf numFmtId="4" fontId="23" fillId="9" borderId="10" xfId="3" applyNumberFormat="1" applyFont="1" applyFill="1" applyBorder="1" applyAlignment="1" applyProtection="1">
      <alignment horizontal="right"/>
    </xf>
    <xf numFmtId="4" fontId="13" fillId="0" borderId="10" xfId="0" applyNumberFormat="1" applyFont="1" applyBorder="1" applyAlignment="1" applyProtection="1">
      <alignment horizontal="right"/>
      <protection locked="0"/>
    </xf>
    <xf numFmtId="4" fontId="20" fillId="5" borderId="10" xfId="3" applyNumberFormat="1" applyFont="1" applyBorder="1" applyAlignment="1" applyProtection="1">
      <alignment horizontal="right"/>
    </xf>
    <xf numFmtId="0" fontId="15" fillId="11" borderId="10" xfId="2" applyFont="1" applyFill="1" applyBorder="1" applyAlignment="1" applyProtection="1">
      <alignment horizontal="center"/>
    </xf>
    <xf numFmtId="0" fontId="13" fillId="0" borderId="11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4" fontId="13" fillId="0" borderId="11" xfId="0" applyNumberFormat="1" applyFont="1" applyBorder="1" applyAlignment="1" applyProtection="1">
      <alignment horizontal="right"/>
      <protection locked="0"/>
    </xf>
    <xf numFmtId="4" fontId="13" fillId="0" borderId="8" xfId="0" applyNumberFormat="1" applyFont="1" applyBorder="1" applyAlignment="1" applyProtection="1">
      <alignment horizontal="right"/>
      <protection locked="0"/>
    </xf>
    <xf numFmtId="4" fontId="13" fillId="0" borderId="9" xfId="0" applyNumberFormat="1" applyFont="1" applyBorder="1" applyAlignment="1" applyProtection="1">
      <alignment horizontal="right"/>
      <protection locked="0"/>
    </xf>
    <xf numFmtId="0" fontId="13" fillId="0" borderId="10" xfId="0" applyFont="1" applyBorder="1" applyAlignment="1">
      <alignment horizontal="left"/>
    </xf>
    <xf numFmtId="0" fontId="17" fillId="0" borderId="1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3" fillId="11" borderId="10" xfId="0" applyFont="1" applyFill="1" applyBorder="1" applyAlignment="1">
      <alignment horizontal="left" vertical="center"/>
    </xf>
    <xf numFmtId="0" fontId="13" fillId="0" borderId="10" xfId="0" applyFont="1" applyBorder="1" applyAlignment="1" applyProtection="1">
      <alignment horizontal="left"/>
      <protection locked="0"/>
    </xf>
    <xf numFmtId="14" fontId="13" fillId="0" borderId="10" xfId="0" applyNumberFormat="1" applyFont="1" applyBorder="1" applyAlignment="1" applyProtection="1">
      <alignment horizontal="right"/>
      <protection locked="0"/>
    </xf>
    <xf numFmtId="0" fontId="13" fillId="0" borderId="10" xfId="0" applyFont="1" applyBorder="1" applyProtection="1">
      <protection locked="0"/>
    </xf>
    <xf numFmtId="0" fontId="13" fillId="11" borderId="10" xfId="0" applyFont="1" applyFill="1" applyBorder="1" applyAlignment="1">
      <alignment horizontal="right"/>
    </xf>
    <xf numFmtId="168" fontId="20" fillId="15" borderId="11" xfId="0" applyNumberFormat="1" applyFont="1" applyFill="1" applyBorder="1" applyAlignment="1">
      <alignment horizontal="right"/>
    </xf>
    <xf numFmtId="168" fontId="20" fillId="15" borderId="8" xfId="0" applyNumberFormat="1" applyFont="1" applyFill="1" applyBorder="1" applyAlignment="1">
      <alignment horizontal="right"/>
    </xf>
    <xf numFmtId="168" fontId="20" fillId="15" borderId="9" xfId="0" applyNumberFormat="1" applyFont="1" applyFill="1" applyBorder="1" applyAlignment="1">
      <alignment horizontal="right"/>
    </xf>
    <xf numFmtId="9" fontId="13" fillId="0" borderId="10" xfId="0" applyNumberFormat="1" applyFont="1" applyBorder="1" applyAlignment="1" applyProtection="1">
      <alignment horizontal="right"/>
      <protection locked="0"/>
    </xf>
    <xf numFmtId="168" fontId="23" fillId="9" borderId="10" xfId="3" applyNumberFormat="1" applyFont="1" applyFill="1" applyBorder="1" applyAlignment="1" applyProtection="1">
      <alignment horizontal="right"/>
    </xf>
    <xf numFmtId="168" fontId="20" fillId="15" borderId="10" xfId="0" applyNumberFormat="1" applyFont="1" applyFill="1" applyBorder="1" applyAlignment="1">
      <alignment horizontal="right"/>
    </xf>
    <xf numFmtId="0" fontId="25" fillId="24" borderId="26" xfId="3" applyFont="1" applyFill="1" applyBorder="1" applyAlignment="1" applyProtection="1">
      <alignment horizontal="center" vertical="center"/>
    </xf>
    <xf numFmtId="0" fontId="25" fillId="24" borderId="27" xfId="3" applyFont="1" applyFill="1" applyBorder="1" applyAlignment="1" applyProtection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5" fillId="17" borderId="23" xfId="2" applyFont="1" applyFill="1" applyBorder="1" applyAlignment="1" applyProtection="1">
      <alignment horizontal="left" vertical="center"/>
    </xf>
    <xf numFmtId="0" fontId="15" fillId="17" borderId="22" xfId="2" applyFont="1" applyFill="1" applyBorder="1" applyAlignment="1" applyProtection="1">
      <alignment horizontal="left" vertical="center"/>
    </xf>
    <xf numFmtId="0" fontId="15" fillId="17" borderId="24" xfId="2" applyFont="1" applyFill="1" applyBorder="1" applyAlignment="1" applyProtection="1">
      <alignment horizontal="left" vertical="center"/>
    </xf>
    <xf numFmtId="0" fontId="15" fillId="17" borderId="20" xfId="2" applyFont="1" applyFill="1" applyBorder="1" applyAlignment="1" applyProtection="1">
      <alignment horizontal="left" vertical="center"/>
    </xf>
    <xf numFmtId="0" fontId="15" fillId="17" borderId="13" xfId="2" applyFont="1" applyFill="1" applyBorder="1" applyAlignment="1" applyProtection="1">
      <alignment horizontal="left" vertical="center"/>
    </xf>
    <xf numFmtId="0" fontId="15" fillId="17" borderId="21" xfId="2" applyFont="1" applyFill="1" applyBorder="1" applyAlignment="1" applyProtection="1">
      <alignment horizontal="left" vertical="center"/>
    </xf>
    <xf numFmtId="165" fontId="13" fillId="18" borderId="0" xfId="1" applyNumberFormat="1" applyFont="1" applyFill="1" applyBorder="1" applyAlignment="1" applyProtection="1">
      <alignment horizontal="center"/>
    </xf>
    <xf numFmtId="0" fontId="11" fillId="0" borderId="13" xfId="0" applyFont="1" applyBorder="1" applyAlignment="1">
      <alignment horizontal="center" vertical="center"/>
    </xf>
    <xf numFmtId="0" fontId="10" fillId="3" borderId="0" xfId="5" applyFill="1" applyBorder="1" applyAlignment="1" applyProtection="1">
      <alignment horizontal="center"/>
    </xf>
    <xf numFmtId="0" fontId="15" fillId="7" borderId="11" xfId="0" applyFont="1" applyFill="1" applyBorder="1" applyAlignment="1" applyProtection="1">
      <alignment horizontal="center"/>
      <protection locked="0"/>
    </xf>
    <xf numFmtId="0" fontId="15" fillId="7" borderId="8" xfId="0" applyFont="1" applyFill="1" applyBorder="1" applyAlignment="1" applyProtection="1">
      <alignment horizontal="center"/>
      <protection locked="0"/>
    </xf>
    <xf numFmtId="0" fontId="15" fillId="7" borderId="9" xfId="0" applyFont="1" applyFill="1" applyBorder="1" applyAlignment="1" applyProtection="1">
      <alignment horizontal="center"/>
      <protection locked="0"/>
    </xf>
    <xf numFmtId="0" fontId="21" fillId="23" borderId="11" xfId="4" applyFont="1" applyFill="1" applyBorder="1" applyAlignment="1" applyProtection="1">
      <alignment horizontal="right"/>
    </xf>
    <xf numFmtId="0" fontId="21" fillId="23" borderId="8" xfId="4" applyFont="1" applyFill="1" applyBorder="1" applyAlignment="1" applyProtection="1">
      <alignment horizontal="right"/>
    </xf>
    <xf numFmtId="0" fontId="15" fillId="8" borderId="23" xfId="0" applyFont="1" applyFill="1" applyBorder="1" applyAlignment="1">
      <alignment horizontal="center" vertical="center" textRotation="90" wrapText="1"/>
    </xf>
    <xf numFmtId="0" fontId="15" fillId="8" borderId="24" xfId="0" applyFont="1" applyFill="1" applyBorder="1" applyAlignment="1">
      <alignment horizontal="center" vertical="center" textRotation="90" wrapText="1"/>
    </xf>
    <xf numFmtId="0" fontId="15" fillId="8" borderId="18" xfId="0" applyFont="1" applyFill="1" applyBorder="1" applyAlignment="1">
      <alignment horizontal="center" vertical="center" textRotation="90" wrapText="1"/>
    </xf>
    <xf numFmtId="0" fontId="15" fillId="8" borderId="19" xfId="0" applyFont="1" applyFill="1" applyBorder="1" applyAlignment="1">
      <alignment horizontal="center" vertical="center" textRotation="90" wrapText="1"/>
    </xf>
    <xf numFmtId="0" fontId="15" fillId="8" borderId="20" xfId="0" applyFont="1" applyFill="1" applyBorder="1" applyAlignment="1">
      <alignment horizontal="center" vertical="center" textRotation="90" wrapText="1"/>
    </xf>
    <xf numFmtId="0" fontId="15" fillId="8" borderId="21" xfId="0" applyFont="1" applyFill="1" applyBorder="1" applyAlignment="1">
      <alignment horizontal="center" vertical="center" textRotation="90" wrapText="1"/>
    </xf>
    <xf numFmtId="0" fontId="15" fillId="8" borderId="10" xfId="0" applyFont="1" applyFill="1" applyBorder="1" applyAlignment="1">
      <alignment horizontal="center" vertical="center" textRotation="90" wrapText="1"/>
    </xf>
    <xf numFmtId="0" fontId="13" fillId="8" borderId="11" xfId="0" applyFont="1" applyFill="1" applyBorder="1" applyAlignment="1">
      <alignment horizontal="center"/>
    </xf>
    <xf numFmtId="0" fontId="13" fillId="8" borderId="8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22" fillId="16" borderId="22" xfId="0" applyFont="1" applyFill="1" applyBorder="1" applyAlignment="1">
      <alignment horizontal="center" vertical="center" wrapText="1"/>
    </xf>
    <xf numFmtId="0" fontId="22" fillId="16" borderId="24" xfId="0" applyFont="1" applyFill="1" applyBorder="1" applyAlignment="1">
      <alignment horizontal="center" vertical="center" wrapText="1"/>
    </xf>
    <xf numFmtId="0" fontId="22" fillId="16" borderId="13" xfId="0" applyFont="1" applyFill="1" applyBorder="1" applyAlignment="1">
      <alignment horizontal="center" vertical="center" wrapText="1"/>
    </xf>
    <xf numFmtId="0" fontId="22" fillId="16" borderId="21" xfId="0" applyFont="1" applyFill="1" applyBorder="1" applyAlignment="1">
      <alignment horizontal="center" vertical="center" wrapText="1"/>
    </xf>
    <xf numFmtId="0" fontId="22" fillId="16" borderId="23" xfId="0" applyFont="1" applyFill="1" applyBorder="1" applyAlignment="1">
      <alignment horizontal="center" vertical="center" wrapText="1"/>
    </xf>
    <xf numFmtId="0" fontId="22" fillId="16" borderId="20" xfId="0" applyFont="1" applyFill="1" applyBorder="1" applyAlignment="1">
      <alignment horizontal="center" vertical="center" wrapText="1"/>
    </xf>
    <xf numFmtId="0" fontId="22" fillId="16" borderId="22" xfId="0" applyFont="1" applyFill="1" applyBorder="1" applyAlignment="1">
      <alignment horizontal="center" vertical="center"/>
    </xf>
    <xf numFmtId="0" fontId="22" fillId="16" borderId="13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justify" vertical="top" wrapText="1"/>
    </xf>
    <xf numFmtId="0" fontId="12" fillId="0" borderId="22" xfId="0" applyFont="1" applyBorder="1" applyAlignment="1">
      <alignment horizontal="justify" vertical="top" wrapText="1"/>
    </xf>
    <xf numFmtId="0" fontId="12" fillId="0" borderId="24" xfId="0" applyFont="1" applyBorder="1" applyAlignment="1">
      <alignment horizontal="justify" vertical="top" wrapText="1"/>
    </xf>
    <xf numFmtId="0" fontId="12" fillId="0" borderId="18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12" fillId="0" borderId="19" xfId="0" applyFont="1" applyBorder="1" applyAlignment="1">
      <alignment horizontal="justify" vertical="top" wrapText="1"/>
    </xf>
    <xf numFmtId="0" fontId="12" fillId="0" borderId="20" xfId="0" applyFont="1" applyBorder="1" applyAlignment="1">
      <alignment horizontal="justify" vertical="top" wrapText="1"/>
    </xf>
    <xf numFmtId="0" fontId="12" fillId="0" borderId="13" xfId="0" applyFont="1" applyBorder="1" applyAlignment="1">
      <alignment horizontal="justify" vertical="top" wrapText="1"/>
    </xf>
    <xf numFmtId="0" fontId="12" fillId="0" borderId="21" xfId="0" applyFont="1" applyBorder="1" applyAlignment="1">
      <alignment horizontal="justify" vertical="top" wrapText="1"/>
    </xf>
    <xf numFmtId="165" fontId="13" fillId="19" borderId="0" xfId="1" applyNumberFormat="1" applyFont="1" applyFill="1" applyBorder="1" applyAlignment="1" applyProtection="1">
      <alignment horizontal="center"/>
    </xf>
    <xf numFmtId="165" fontId="13" fillId="20" borderId="0" xfId="1" applyNumberFormat="1" applyFont="1" applyFill="1" applyBorder="1" applyAlignment="1" applyProtection="1">
      <alignment horizontal="center"/>
    </xf>
    <xf numFmtId="165" fontId="13" fillId="21" borderId="0" xfId="1" applyNumberFormat="1" applyFont="1" applyFill="1" applyBorder="1" applyAlignment="1" applyProtection="1">
      <alignment horizontal="center"/>
    </xf>
    <xf numFmtId="165" fontId="13" fillId="22" borderId="0" xfId="1" applyNumberFormat="1" applyFont="1" applyFill="1" applyBorder="1" applyAlignment="1" applyProtection="1">
      <alignment horizontal="center"/>
    </xf>
  </cellXfs>
  <cellStyles count="6">
    <cellStyle name="40% - Ênfase6" xfId="4" builtinId="51"/>
    <cellStyle name="Ênfase1" xfId="2" builtinId="29"/>
    <cellStyle name="Ênfase6" xfId="3" builtinId="49"/>
    <cellStyle name="Hiperlink" xfId="5" builtinId="8"/>
    <cellStyle name="Normal" xfId="0" builtinId="0"/>
    <cellStyle name="Porcentagem" xfId="1" builtinId="5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FF5B5B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26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numFmt numFmtId="167" formatCode="#,##0.0"/>
      <fill>
        <patternFill patternType="solid">
          <fgColor indexed="31"/>
          <bgColor theme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numFmt numFmtId="167" formatCode="#,##0.0"/>
      <fill>
        <patternFill patternType="solid">
          <fgColor indexed="31"/>
          <bgColor theme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numFmt numFmtId="167" formatCode="#,##0.0"/>
      <fill>
        <patternFill patternType="solid">
          <fgColor indexed="31"/>
          <bgColor theme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numFmt numFmtId="167" formatCode="#,##0.0"/>
      <fill>
        <patternFill patternType="solid">
          <fgColor indexed="31"/>
          <bgColor theme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numFmt numFmtId="168" formatCode="0.0"/>
      <fill>
        <patternFill patternType="solid">
          <fgColor indexed="31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numFmt numFmtId="1" formatCode="0"/>
      <fill>
        <patternFill patternType="solid">
          <fgColor indexed="31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31"/>
          <bgColor theme="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31"/>
          <bgColor theme="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41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FF5B5B"/>
        </left>
        <right style="thin">
          <color rgb="FFFF5B5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family val="2"/>
        <scheme val="none"/>
      </font>
      <fill>
        <patternFill patternType="solid">
          <fgColor indexed="64"/>
          <bgColor theme="9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FF5B5B"/>
        </right>
        <top/>
        <bottom/>
      </border>
      <protection locked="0" hidden="0"/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numFmt numFmtId="167" formatCode="#,##0.0"/>
      <fill>
        <patternFill>
          <bgColor theme="5" tint="0.79998168889431442"/>
        </patternFill>
      </fill>
    </dxf>
    <dxf>
      <numFmt numFmtId="167" formatCode="#,##0.0"/>
      <fill>
        <patternFill>
          <bgColor theme="5" tint="0.79998168889431442"/>
        </patternFill>
      </fill>
    </dxf>
    <dxf>
      <numFmt numFmtId="167" formatCode="#,##0.0"/>
      <fill>
        <patternFill>
          <bgColor theme="5" tint="0.79998168889431442"/>
        </patternFill>
      </fill>
    </dxf>
    <dxf>
      <numFmt numFmtId="167" formatCode="#,##0.0"/>
      <fill>
        <patternFill patternType="solid">
          <bgColor theme="5" tint="0.79998168889431442"/>
        </patternFill>
      </fill>
    </dxf>
    <dxf>
      <numFmt numFmtId="168" formatCode="0.0"/>
      <fill>
        <patternFill>
          <bgColor theme="0" tint="-0.14996795556505021"/>
        </patternFill>
      </fill>
      <alignment horizontal="centerContinuous" vertical="bottom" textRotation="0" wrapText="0" indent="0" justifyLastLine="0" shrinkToFit="0" readingOrder="0"/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theme="4" tint="0.79998168889431442"/>
        </patternFill>
      </fill>
    </dxf>
    <dxf>
      <alignment horizontal="center" vertical="bottom" textRotation="0" wrapText="0" indent="0" justifyLastLine="0" shrinkToFit="0" readingOrder="0"/>
    </dxf>
    <dxf>
      <fill>
        <patternFill>
          <bgColor theme="8" tint="0.79998168889431442"/>
        </patternFill>
      </fill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0"/>
        <name val="Tahoma"/>
        <scheme val="none"/>
      </font>
      <fill>
        <patternFill>
          <bgColor theme="9"/>
        </patternFill>
      </fill>
    </dxf>
    <dxf>
      <border outline="0">
        <left style="medium">
          <color indexed="8"/>
        </left>
        <bottom style="hair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55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00000"/>
        </left>
        <right style="thin">
          <color rgb="FFC00000"/>
        </right>
        <top/>
        <bottom/>
        <vertical style="thin">
          <color rgb="FFC00000"/>
        </vertical>
        <horizontal style="thin">
          <color rgb="FFC00000"/>
        </horizontal>
      </border>
      <protection locked="1"/>
    </dxf>
    <dxf>
      <fill>
        <patternFill patternType="solid">
          <fgColor theme="9" tint="0.79998168889431442"/>
          <bgColor theme="9" tint="0.79998168889431442"/>
        </patternFill>
      </fill>
      <border>
        <left style="thin">
          <color rgb="FFFF5B5B"/>
        </left>
        <right style="thin">
          <color rgb="FFFF5B5B"/>
        </right>
        <top style="thin">
          <color rgb="FFFF5B5B"/>
        </top>
        <bottom style="thin">
          <color rgb="FFFF5B5B"/>
        </bottom>
        <vertical style="thin">
          <color rgb="FFFF5B5B"/>
        </vertical>
        <horizontal style="thin">
          <color rgb="FFFF5B5B"/>
        </horizontal>
      </border>
    </dxf>
    <dxf>
      <fill>
        <patternFill patternType="solid">
          <fgColor theme="9" tint="0.79998168889431442"/>
          <bgColor theme="9" tint="0.79998168889431442"/>
        </patternFill>
      </fill>
      <border>
        <left style="thin">
          <color rgb="FFFF5B5B"/>
        </left>
        <right style="thin">
          <color rgb="FFFF5B5B"/>
        </right>
        <top style="thin">
          <color rgb="FFFF5B5B"/>
        </top>
        <bottom style="thin">
          <color rgb="FFFF5B5B"/>
        </bottom>
        <vertical style="thin">
          <color rgb="FFFF5B5B"/>
        </vertical>
        <horizontal style="thin">
          <color rgb="FFFF5B5B"/>
        </horizontal>
      </border>
    </dxf>
    <dxf>
      <font>
        <b/>
        <color theme="9" tint="-0.249977111117893"/>
      </font>
      <border>
        <left style="thin">
          <color rgb="FFFF5B5B"/>
        </left>
        <right style="thin">
          <color rgb="FFFF5B5B"/>
        </right>
        <top style="thin">
          <color rgb="FFFF5B5B"/>
        </top>
        <bottom style="thin">
          <color rgb="FFFF5B5B"/>
        </bottom>
        <vertical style="thin">
          <color rgb="FFFF5B5B"/>
        </vertical>
        <horizontal style="thin">
          <color rgb="FFFF5B5B"/>
        </horizontal>
      </border>
    </dxf>
    <dxf>
      <font>
        <b/>
        <color theme="9" tint="-0.249977111117893"/>
      </font>
      <border>
        <left style="thin">
          <color rgb="FFFF5B5B"/>
        </left>
        <right style="thin">
          <color rgb="FFFF5B5B"/>
        </right>
        <top style="thin">
          <color rgb="FFFF5B5B"/>
        </top>
        <bottom style="thin">
          <color rgb="FFFF5B5B"/>
        </bottom>
        <vertical style="thin">
          <color rgb="FFFF5B5B"/>
        </vertical>
        <horizontal style="thin">
          <color rgb="FFFF5B5B"/>
        </horizontal>
      </border>
    </dxf>
    <dxf>
      <font>
        <b/>
        <color theme="9" tint="-0.249977111117893"/>
      </font>
      <border>
        <left style="thin">
          <color rgb="FFFF5B5B"/>
        </left>
        <right style="thin">
          <color rgb="FFFF5B5B"/>
        </right>
        <top style="thin">
          <color rgb="FFFF5B5B"/>
        </top>
        <bottom style="thin">
          <color rgb="FFFF5B5B"/>
        </bottom>
        <vertical style="thin">
          <color rgb="FFFF5B5B"/>
        </vertical>
        <horizontal style="thin">
          <color rgb="FFFF5B5B"/>
        </horizontal>
      </border>
    </dxf>
    <dxf>
      <font>
        <b/>
        <color theme="9" tint="-0.249977111117893"/>
      </font>
      <border>
        <left style="thin">
          <color rgb="FFFF5B5B"/>
        </left>
        <right style="thin">
          <color rgb="FFFF5B5B"/>
        </right>
        <top style="thin">
          <color rgb="FFFF5B5B"/>
        </top>
        <bottom style="thin">
          <color rgb="FFFF5B5B"/>
        </bottom>
        <vertical style="thin">
          <color rgb="FFFF5B5B"/>
        </vertical>
        <horizontal style="thin">
          <color rgb="FFFF5B5B"/>
        </horizontal>
      </border>
    </dxf>
    <dxf>
      <font>
        <color auto="1"/>
      </font>
      <border>
        <left style="thin">
          <color rgb="FFFF5B5B"/>
        </left>
        <right style="thin">
          <color rgb="FFFF5B5B"/>
        </right>
        <top style="thin">
          <color rgb="FFFF5B5B"/>
        </top>
        <bottom style="thin">
          <color rgb="FFFF5B5B"/>
        </bottom>
        <vertical style="thin">
          <color rgb="FFFF5B5B"/>
        </vertical>
        <horizontal style="thin">
          <color rgb="FFFF5B5B"/>
        </horizontal>
      </border>
    </dxf>
  </dxfs>
  <tableStyles count="1" defaultTableStyle="TableStyleMedium9" defaultPivotStyle="PivotStyleLight16">
    <tableStyle name="TableStyleLight7 2" pivot="0" count="7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  <tableStyleElement type="firstColumnStripe" dxfId="5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00FF00"/>
      <rgbColor rgb="000000FF"/>
      <rgbColor rgb="00FCF305"/>
      <rgbColor rgb="00FF00FF"/>
      <rgbColor rgb="0000FFFF"/>
      <rgbColor rgb="00800000"/>
      <rgbColor rgb="00006411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D4"/>
      <rgbColor rgb="0000ABEA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B5B"/>
      <color rgb="FFFF4F4F"/>
      <color rgb="FF4479BA"/>
      <color rgb="FFF79646"/>
      <color rgb="FF4072AE"/>
      <color rgb="FF3B689F"/>
      <color rgb="FFFDE9D9"/>
      <color rgb="FFFF3737"/>
      <color rgb="FFFFFF4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pt-BR" sz="1000"/>
              <a:t>% por Tipo de Função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(Contagem!$AT$8,Contagem!$AT$14,Contagem!$AT$21,Contagem!$AT$27,Contagem!$AT$33)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(Contagem!$BA$11,Contagem!$BA$18,Contagem!$BA$24,Contagem!$BA$30,Contagem!$BA$36)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1-4AEE-AA49-C11E9E2BA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3425163812056824"/>
          <c:y val="7.5806499797281435E-2"/>
          <c:w val="0.1382569430263795"/>
          <c:h val="0.82654460875317415"/>
        </c:manualLayout>
      </c:layout>
      <c:overlay val="0"/>
      <c:txPr>
        <a:bodyPr/>
        <a:lstStyle/>
        <a:p>
          <a:pPr rtl="0">
            <a:defRPr sz="800"/>
          </a:pPr>
          <a:endParaRPr lang="pt-BR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1</xdr:row>
      <xdr:rowOff>19051</xdr:rowOff>
    </xdr:from>
    <xdr:to>
      <xdr:col>10</xdr:col>
      <xdr:colOff>38100</xdr:colOff>
      <xdr:row>3</xdr:row>
      <xdr:rowOff>52244</xdr:rowOff>
    </xdr:to>
    <xdr:pic>
      <xdr:nvPicPr>
        <xdr:cNvPr id="3" name="Picture 2" descr="64EF3A2F-0949-4C15-AC43-DA40237CDC0A@Borbolet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1" y="19051"/>
          <a:ext cx="1609724" cy="3379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35</xdr:col>
      <xdr:colOff>66676</xdr:colOff>
      <xdr:row>4</xdr:row>
      <xdr:rowOff>95250</xdr:rowOff>
    </xdr:from>
    <xdr:to>
      <xdr:col>40</xdr:col>
      <xdr:colOff>85725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1</xdr:col>
      <xdr:colOff>1609724</xdr:colOff>
      <xdr:row>2</xdr:row>
      <xdr:rowOff>128443</xdr:rowOff>
    </xdr:to>
    <xdr:pic>
      <xdr:nvPicPr>
        <xdr:cNvPr id="6" name="Picture 5" descr="64EF3A2F-0949-4C15-AC43-DA40237CDC0A@Borbolet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"/>
          <a:ext cx="1609724" cy="3379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adigmabs-my.sharepoint.com/Users/pablo/AppData/Local/Microsoft/Windows/INetCache/Content.Outlook/ZXX8G0XD/RFP001%20-%20Gest&#227;o%20de%20Compras%20-%20Matriz%20de%20Requisitos%20(DOT%20-%20DOT-20645-2018%20-%201%20-%20A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Sistemas"/>
      <sheetName val="Desenho da Solução"/>
      <sheetName val="Sheet1"/>
      <sheetName val="Matriz de Requisitos"/>
      <sheetName val="Resumo"/>
      <sheetName val="EAP"/>
      <sheetName val="RFP"/>
      <sheetName val="Legendas"/>
      <sheetName val="RFP001 - Gestão de Compras - 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10:AH21" totalsRowCount="1" headerRowDxfId="51" dataDxfId="50" totalsRowDxfId="48" tableBorderDxfId="49">
  <tableColumns count="33">
    <tableColumn id="1" xr3:uid="{00000000-0010-0000-0000-000001000000}" name="Processo Elementar ou Grupo de Dados" totalsRowLabel="Total" dataDxfId="47" totalsRowDxfId="32"/>
    <tableColumn id="6" xr3:uid="{00000000-0010-0000-0000-000006000000}" name="Column5" totalsRowDxfId="31"/>
    <tableColumn id="7" xr3:uid="{00000000-0010-0000-0000-000007000000}" name="Tipo" dataDxfId="46" totalsRowDxfId="30"/>
    <tableColumn id="8" xr3:uid="{00000000-0010-0000-0000-000008000000}" name="(I/A/E)" dataDxfId="45" totalsRowDxfId="29"/>
    <tableColumn id="9" xr3:uid="{00000000-0010-0000-0000-000009000000}" name="TD" dataDxfId="44" totalsRowDxfId="28"/>
    <tableColumn id="14" xr3:uid="{00000000-0010-0000-0000-00000E000000}" name="AR/TR" dataDxfId="43" totalsRowDxfId="27"/>
    <tableColumn id="17" xr3:uid="{00000000-0010-0000-0000-000011000000}" name="FI" totalsRowDxfId="26">
      <calculatedColumnFormula>IF(E11=0,0,IF(E11="I",Contagem!$V$12,IF(E11="A",Contagem!$V$13,Contagem!$V$14)))</calculatedColumnFormula>
    </tableColumn>
    <tableColumn id="18" xr3:uid="{00000000-0010-0000-0000-000012000000}" name="ctl" totalsRowDxfId="25">
      <calculatedColumnFormula>CONCATENATE(D11,J11)</calculatedColumnFormula>
    </tableColumn>
    <tableColumn id="19" xr3:uid="{00000000-0010-0000-0000-000013000000}" name="c" totalsRowDxfId="24">
      <calculatedColumnFormula>IF(OR(ISBLANK(F11),ISBLANK(G11)),IF(OR(D11="ALI",D11="AIE"),"L",IF(ISBLANK(D11),"","A")),IF(D11="EE",IF(G11&gt;=3,IF(F11&gt;=5,"H","A"),IF(G11&gt;=2,IF(F11&gt;=16,"H",IF(F11&lt;=4,"L","A")),IF(F11&lt;=15,"L","A"))),IF(OR(D11="SE",D11="CE"),IF(G11&gt;=4,IF(F11&gt;=6,"H","A"),IF(G11&gt;=2,IF(F11&gt;=20,"H",IF(F11&lt;=5,"L","A")),IF(F11&lt;=19,"L","A"))),IF(OR(D11="ALI",D11="AIE"),IF(G11&gt;=6,IF(F11&gt;=20,"H","A"),IF(G11&gt;=2,IF(F11&gt;=51,"H",IF(F11&lt;=19,"L","A")),IF(F11&lt;=50,"L","A")))))))</calculatedColumnFormula>
    </tableColumn>
    <tableColumn id="26" xr3:uid="{00000000-0010-0000-0000-00001A000000}" name="Complex." dataDxfId="42" totalsRowDxfId="23">
      <calculatedColumnFormula>IF(J11="L","Baixa",IF(J11="A","Média",IF(J11="","","Alta")))</calculatedColumnFormula>
    </tableColumn>
    <tableColumn id="27" xr3:uid="{00000000-0010-0000-0000-00001B000000}" name="PF" totalsRowFunction="sum" dataDxfId="41" totalsRowDxfId="22">
      <calculatedColumnFormula>IF(ISBLANK(D11),"",IF(D11="ALI",IF(J11="L",7,IF(J11="A",10,15)),IF(D11="AIE",IF(J11="L",5,IF(J11="A",7,10)),IF(D11="SE",IF(J11="L",4,IF(J11="A",5,7)),IF(OR(D11="EE",D11="CE"),IF(J11="L",3,IF(J11="A",4,6)))))))</calculatedColumnFormula>
    </tableColumn>
    <tableColumn id="28" xr3:uid="{00000000-0010-0000-0000-00001C000000}" name="PFA" totalsRowFunction="sum" dataDxfId="40" totalsRowDxfId="21">
      <calculatedColumnFormula>PRODUCT(L11,H11)</calculatedColumnFormula>
    </tableColumn>
    <tableColumn id="10" xr3:uid="{00000000-0010-0000-0000-00000A000000}" name="Total" totalsRowFunction="sum" dataDxfId="39" totalsRowDxfId="20">
      <calculatedColumnFormula>IF(LEN(Table3[[#This Row],[Tipo]])&gt;0, Table3[[#This Row],[PFA]]*Contagem!$Z$19, 0)</calculatedColumnFormula>
    </tableColumn>
    <tableColumn id="5" xr3:uid="{00000000-0010-0000-0000-000005000000}" name="Desenv." totalsRowFunction="sum" dataDxfId="38" totalsRowDxfId="19">
      <calculatedColumnFormula>Table3[[#This Row],[Total]]*Contagem!$V$29</calculatedColumnFormula>
    </tableColumn>
    <tableColumn id="4" xr3:uid="{00000000-0010-0000-0000-000004000000}" name="An. Teste" totalsRowFunction="sum" dataDxfId="37" totalsRowDxfId="18">
      <calculatedColumnFormula>Table3[[#This Row],[Total]]*Contagem!$V$28</calculatedColumnFormula>
    </tableColumn>
    <tableColumn id="3" xr3:uid="{00000000-0010-0000-0000-000003000000}" name="Teste" totalsRowFunction="sum" dataDxfId="36" totalsRowDxfId="17">
      <calculatedColumnFormula>Table3[[#This Row],[Total]]*Contagem!$V$30</calculatedColumnFormula>
    </tableColumn>
    <tableColumn id="29" xr3:uid="{00000000-0010-0000-0000-00001D000000}" name="User Story (ID)" totalsRowDxfId="16"/>
    <tableColumn id="33" xr3:uid="{00000000-0010-0000-0000-000021000000}" name="SE Excluído" totalsRowDxfId="15">
      <calculatedColumnFormula>IF(AND(D11="SE",E11="E"),M11,0)</calculatedColumnFormula>
    </tableColumn>
    <tableColumn id="34" xr3:uid="{00000000-0010-0000-0000-000022000000}" name="CE Excluído" totalsRowDxfId="14">
      <calculatedColumnFormula>IF(AND(D11="CE",E11="E"),M11,0)</calculatedColumnFormula>
    </tableColumn>
    <tableColumn id="35" xr3:uid="{00000000-0010-0000-0000-000023000000}" name="EE Excluído" totalsRowDxfId="13">
      <calculatedColumnFormula>IF(AND(D11="EE",E11="E"),M11,0)</calculatedColumnFormula>
    </tableColumn>
    <tableColumn id="36" xr3:uid="{00000000-0010-0000-0000-000024000000}" name="AIE Excluído" totalsRowDxfId="12">
      <calculatedColumnFormula>IF(AND(D11="AIE",E11="E"),M11,0)</calculatedColumnFormula>
    </tableColumn>
    <tableColumn id="37" xr3:uid="{00000000-0010-0000-0000-000025000000}" name="ALI Excluído" totalsRowDxfId="11">
      <calculatedColumnFormula>IF(AND(D11="ALI",E11="E"),M11,0)</calculatedColumnFormula>
    </tableColumn>
    <tableColumn id="38" xr3:uid="{00000000-0010-0000-0000-000026000000}" name="SE Alterada" totalsRowDxfId="10">
      <calculatedColumnFormula>IF(AND(D11="SE",E11="A"),M11,0)</calculatedColumnFormula>
    </tableColumn>
    <tableColumn id="39" xr3:uid="{00000000-0010-0000-0000-000027000000}" name="CE Alterada" totalsRowDxfId="9">
      <calculatedColumnFormula>IF(AND(D11="CE",E11="A"),M11,0)</calculatedColumnFormula>
    </tableColumn>
    <tableColumn id="40" xr3:uid="{00000000-0010-0000-0000-000028000000}" name="EE Alterada" totalsRowDxfId="8">
      <calculatedColumnFormula>IF(AND(D11="EE",E11="A"),M11,0)</calculatedColumnFormula>
    </tableColumn>
    <tableColumn id="41" xr3:uid="{00000000-0010-0000-0000-000029000000}" name="AIE Alterado" totalsRowDxfId="7">
      <calculatedColumnFormula>IF(AND(D11="AIE",E11="A"),M11,0)</calculatedColumnFormula>
    </tableColumn>
    <tableColumn id="42" xr3:uid="{00000000-0010-0000-0000-00002A000000}" name="ALI Alterado" totalsRowDxfId="6">
      <calculatedColumnFormula>IF(AND(D11="ALI",E11="A"),M11,0)</calculatedColumnFormula>
    </tableColumn>
    <tableColumn id="43" xr3:uid="{00000000-0010-0000-0000-00002B000000}" name="SE Incluída" totalsRowDxfId="5">
      <calculatedColumnFormula>IF(AND(D11="SE",E11="I"),M11,0)</calculatedColumnFormula>
    </tableColumn>
    <tableColumn id="44" xr3:uid="{00000000-0010-0000-0000-00002C000000}" name="CE Incluída" totalsRowDxfId="4">
      <calculatedColumnFormula>IF(AND(D11="CE",E11="I"),M11,0)</calculatedColumnFormula>
    </tableColumn>
    <tableColumn id="45" xr3:uid="{00000000-0010-0000-0000-00002D000000}" name="EE Incluída" totalsRowDxfId="3">
      <calculatedColumnFormula>IF(AND(D11="EE",E11="I"),M11,0)</calculatedColumnFormula>
    </tableColumn>
    <tableColumn id="46" xr3:uid="{00000000-0010-0000-0000-00002E000000}" name="AIE Incluído" totalsRowDxfId="2">
      <calculatedColumnFormula>IF(AND(D11="AIE",E11="I"),M11,0)</calculatedColumnFormula>
    </tableColumn>
    <tableColumn id="47" xr3:uid="{00000000-0010-0000-0000-00002F000000}" name="ALI Incluído" totalsRowDxfId="1">
      <calculatedColumnFormula>IF(AND(D11="ALI",E11="I"),M11,0)</calculatedColumnFormula>
    </tableColumn>
    <tableColumn id="48" xr3:uid="{00000000-0010-0000-0000-000030000000}" name="Observações" totalsRowDxfId="0"/>
  </tableColumns>
  <tableStyleInfo name="TableStyleLight7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tranet.pta.com.br/doc/blog/default.aspx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intranet.pta.com.br/" TargetMode="External"/><Relationship Id="rId1" Type="http://schemas.openxmlformats.org/officeDocument/2006/relationships/hyperlink" Target="http://www.fattocs.com.br/download/GuiaPlanilhaNESMA.pdf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2:BD56"/>
  <sheetViews>
    <sheetView showGridLines="0" showRowColHeaders="0" tabSelected="1" zoomScaleSheetLayoutView="100" workbookViewId="0">
      <selection activeCell="G6" sqref="G6:AC7"/>
    </sheetView>
  </sheetViews>
  <sheetFormatPr defaultColWidth="9.140625" defaultRowHeight="12" customHeight="1" x14ac:dyDescent="0.2"/>
  <cols>
    <col min="1" max="1" width="3.5703125" style="11" customWidth="1"/>
    <col min="2" max="16" width="2.7109375" style="11" customWidth="1"/>
    <col min="17" max="17" width="0.42578125" style="11" customWidth="1"/>
    <col min="18" max="18" width="6.85546875" style="11" customWidth="1"/>
    <col min="19" max="20" width="2.7109375" style="11" customWidth="1"/>
    <col min="21" max="21" width="6.42578125" style="11" customWidth="1"/>
    <col min="22" max="22" width="3.85546875" style="11" customWidth="1"/>
    <col min="23" max="23" width="2.7109375" style="11" customWidth="1"/>
    <col min="24" max="24" width="2.140625" style="11" hidden="1" customWidth="1"/>
    <col min="25" max="25" width="4.7109375" style="11" customWidth="1"/>
    <col min="26" max="28" width="2.7109375" style="11" customWidth="1"/>
    <col min="29" max="29" width="3.28515625" style="11" customWidth="1"/>
    <col min="30" max="30" width="2.7109375" style="11" customWidth="1"/>
    <col min="31" max="31" width="2.85546875" style="11" customWidth="1"/>
    <col min="32" max="32" width="8.28515625" style="11" customWidth="1"/>
    <col min="33" max="33" width="8.140625" style="11" customWidth="1"/>
    <col min="34" max="34" width="4.85546875" style="11" customWidth="1"/>
    <col min="35" max="39" width="8.5703125" style="11" customWidth="1"/>
    <col min="40" max="40" width="10.28515625" style="11" customWidth="1"/>
    <col min="41" max="43" width="2.7109375" style="11" customWidth="1"/>
    <col min="44" max="44" width="2.7109375" style="11" hidden="1" customWidth="1"/>
    <col min="45" max="45" width="12.140625" style="11" hidden="1" customWidth="1"/>
    <col min="46" max="56" width="2.7109375" style="11" hidden="1" customWidth="1"/>
    <col min="57" max="66" width="2.7109375" style="11" customWidth="1"/>
    <col min="67" max="16384" width="9.140625" style="11"/>
  </cols>
  <sheetData>
    <row r="2" spans="2:55" ht="12" customHeight="1" x14ac:dyDescent="0.2">
      <c r="B2" s="185" t="s">
        <v>0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7"/>
      <c r="AE2" s="207" t="s">
        <v>1</v>
      </c>
      <c r="AF2" s="207"/>
      <c r="AG2" s="207"/>
      <c r="AH2" s="207"/>
      <c r="AI2" s="207"/>
      <c r="AJ2" s="207"/>
      <c r="AK2" s="207"/>
      <c r="AL2" s="207"/>
      <c r="AM2" s="207"/>
      <c r="AN2" s="207"/>
      <c r="AO2" s="207"/>
    </row>
    <row r="3" spans="2:55" ht="12" customHeight="1" x14ac:dyDescent="0.2">
      <c r="B3" s="188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90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</row>
    <row r="4" spans="2:55" ht="12" customHeight="1" x14ac:dyDescent="0.2">
      <c r="B4" s="191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3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</row>
    <row r="5" spans="2:55" ht="12.95" customHeight="1" x14ac:dyDescent="0.2">
      <c r="B5" s="194" t="s">
        <v>2</v>
      </c>
      <c r="C5" s="194"/>
      <c r="D5" s="194"/>
      <c r="E5" s="194"/>
      <c r="F5" s="194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E5" s="12"/>
      <c r="AO5" s="13"/>
      <c r="AS5" s="237" t="s">
        <v>3</v>
      </c>
      <c r="AT5" s="233"/>
      <c r="AU5" s="239" t="s">
        <v>4</v>
      </c>
      <c r="AV5" s="239"/>
      <c r="AW5" s="239"/>
      <c r="AX5" s="239"/>
      <c r="AY5" s="233" t="s">
        <v>5</v>
      </c>
      <c r="AZ5" s="233"/>
      <c r="BA5" s="233" t="s">
        <v>6</v>
      </c>
      <c r="BB5" s="233"/>
      <c r="BC5" s="234"/>
    </row>
    <row r="6" spans="2:55" ht="12.95" customHeight="1" x14ac:dyDescent="0.2">
      <c r="B6" s="194" t="s">
        <v>7</v>
      </c>
      <c r="C6" s="194"/>
      <c r="D6" s="194"/>
      <c r="E6" s="194"/>
      <c r="F6" s="194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E6" s="14"/>
      <c r="AF6" s="15"/>
      <c r="AG6" s="15"/>
      <c r="AH6" s="15"/>
      <c r="AI6" s="16" t="s">
        <v>8</v>
      </c>
      <c r="AJ6" s="15"/>
      <c r="AK6" s="15"/>
      <c r="AL6" s="15"/>
      <c r="AM6" s="15"/>
      <c r="AN6" s="15"/>
      <c r="AO6" s="17"/>
      <c r="AS6" s="238"/>
      <c r="AT6" s="235"/>
      <c r="AU6" s="240"/>
      <c r="AV6" s="240"/>
      <c r="AW6" s="240"/>
      <c r="AX6" s="240"/>
      <c r="AY6" s="235"/>
      <c r="AZ6" s="235"/>
      <c r="BA6" s="235"/>
      <c r="BB6" s="235"/>
      <c r="BC6" s="236"/>
    </row>
    <row r="7" spans="2:55" ht="12.95" customHeight="1" x14ac:dyDescent="0.2">
      <c r="B7" s="194" t="s">
        <v>9</v>
      </c>
      <c r="C7" s="194"/>
      <c r="D7" s="194"/>
      <c r="E7" s="194"/>
      <c r="F7" s="194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E7" s="14"/>
      <c r="AF7" s="209" t="s">
        <v>10</v>
      </c>
      <c r="AG7" s="210"/>
      <c r="AH7" s="211"/>
      <c r="AI7" s="205">
        <f>SUM(Contagem!AY11+Contagem!AY18+Contagem!AY24+Contagem!AY30+Contagem!AY36)</f>
        <v>0</v>
      </c>
      <c r="AJ7" s="15"/>
      <c r="AL7" s="15"/>
      <c r="AM7" s="15"/>
      <c r="AN7" s="15"/>
      <c r="AO7" s="17"/>
      <c r="AS7" s="18"/>
      <c r="AT7" s="19"/>
      <c r="AU7" s="19"/>
      <c r="AV7" s="19"/>
      <c r="AW7" s="19"/>
      <c r="AX7" s="19"/>
      <c r="AY7" s="19"/>
      <c r="AZ7" s="19"/>
      <c r="BA7" s="19"/>
      <c r="BB7" s="19"/>
      <c r="BC7" s="20"/>
    </row>
    <row r="8" spans="2:55" ht="12.95" customHeight="1" x14ac:dyDescent="0.2">
      <c r="B8" s="194" t="s">
        <v>11</v>
      </c>
      <c r="C8" s="194"/>
      <c r="D8" s="194"/>
      <c r="E8" s="194"/>
      <c r="F8" s="194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8" t="s">
        <v>12</v>
      </c>
      <c r="W8" s="198"/>
      <c r="X8" s="198"/>
      <c r="Y8" s="196"/>
      <c r="Z8" s="196"/>
      <c r="AA8" s="196"/>
      <c r="AB8" s="196"/>
      <c r="AC8" s="196"/>
      <c r="AE8" s="14"/>
      <c r="AF8" s="212"/>
      <c r="AG8" s="213"/>
      <c r="AH8" s="214"/>
      <c r="AI8" s="206"/>
      <c r="AJ8" s="15"/>
      <c r="AL8" s="15"/>
      <c r="AM8" s="15"/>
      <c r="AN8" s="15"/>
      <c r="AO8" s="17"/>
      <c r="AS8" s="18"/>
      <c r="AT8" s="19" t="s">
        <v>13</v>
      </c>
      <c r="AU8" s="21">
        <f>COUNTIF(Table3[ctl],"EEL")</f>
        <v>0</v>
      </c>
      <c r="AV8" s="19"/>
      <c r="AW8" s="22" t="s">
        <v>14</v>
      </c>
      <c r="AX8" s="22" t="s">
        <v>15</v>
      </c>
      <c r="AY8" s="21">
        <f>AU8*3</f>
        <v>0</v>
      </c>
      <c r="AZ8" s="19"/>
      <c r="BA8" s="9"/>
      <c r="BB8" s="19"/>
      <c r="BC8" s="20"/>
    </row>
    <row r="9" spans="2:55" ht="12.95" customHeight="1" x14ac:dyDescent="0.2">
      <c r="B9" s="194" t="s">
        <v>16</v>
      </c>
      <c r="C9" s="194"/>
      <c r="D9" s="194"/>
      <c r="E9" s="194"/>
      <c r="F9" s="194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8" t="s">
        <v>17</v>
      </c>
      <c r="W9" s="198"/>
      <c r="X9" s="198"/>
      <c r="Y9" s="196"/>
      <c r="Z9" s="196"/>
      <c r="AA9" s="196"/>
      <c r="AB9" s="196"/>
      <c r="AC9" s="196"/>
      <c r="AE9" s="14"/>
      <c r="AI9" s="23"/>
      <c r="AJ9" s="15"/>
      <c r="AL9" s="15"/>
      <c r="AM9" s="15"/>
      <c r="AN9" s="15"/>
      <c r="AO9" s="17"/>
      <c r="AS9" s="18"/>
      <c r="AT9" s="19"/>
      <c r="AU9" s="21">
        <f>COUNTIF(Table3[ctl],"EEA")</f>
        <v>0</v>
      </c>
      <c r="AV9" s="19"/>
      <c r="AW9" s="22" t="s">
        <v>18</v>
      </c>
      <c r="AX9" s="22" t="s">
        <v>19</v>
      </c>
      <c r="AY9" s="21">
        <f>AU9*4</f>
        <v>0</v>
      </c>
      <c r="AZ9" s="19"/>
      <c r="BA9" s="9"/>
      <c r="BB9" s="19"/>
      <c r="BC9" s="20"/>
    </row>
    <row r="10" spans="2:55" ht="13.5" customHeight="1" x14ac:dyDescent="0.2"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E10" s="14"/>
      <c r="AF10" s="209" t="s">
        <v>20</v>
      </c>
      <c r="AG10" s="210"/>
      <c r="AH10" s="211"/>
      <c r="AI10" s="205">
        <f>(Contagem!AU8+Contagem!AU9+Contagem!AU10)*4+(Contagem!AU14+Contagem!AU15+Contagem!AU16)*5+(Contagem!AU21+Contagem!AU22+Contagem!AU23)*4+(Contagem!AU27+Contagem!AU28+Contagem!AU29)*7+(Contagem!AU33+Contagem!AU34+Contagem!AU35)*5</f>
        <v>0</v>
      </c>
      <c r="AJ10" s="15"/>
      <c r="AK10" s="15"/>
      <c r="AL10" s="15"/>
      <c r="AM10" s="15"/>
      <c r="AN10" s="15"/>
      <c r="AO10" s="17"/>
      <c r="AS10" s="18"/>
      <c r="AT10" s="19"/>
      <c r="AU10" s="25">
        <f>COUNTIF(Funções!I11:I20,"EEH")</f>
        <v>0</v>
      </c>
      <c r="AV10" s="19"/>
      <c r="AW10" s="22" t="s">
        <v>21</v>
      </c>
      <c r="AX10" s="22" t="s">
        <v>22</v>
      </c>
      <c r="AY10" s="21">
        <f>AU10*6</f>
        <v>0</v>
      </c>
      <c r="AZ10" s="19"/>
      <c r="BA10" s="9"/>
      <c r="BB10" s="19"/>
      <c r="BC10" s="20"/>
    </row>
    <row r="11" spans="2:55" ht="12.95" customHeight="1" x14ac:dyDescent="0.2">
      <c r="B11" s="229" t="s">
        <v>23</v>
      </c>
      <c r="C11" s="229"/>
      <c r="D11" s="157" t="s">
        <v>20</v>
      </c>
      <c r="E11" s="157"/>
      <c r="F11" s="157"/>
      <c r="G11" s="157"/>
      <c r="H11" s="157"/>
      <c r="I11" s="157"/>
      <c r="J11" s="157"/>
      <c r="K11" s="157"/>
      <c r="L11" s="157"/>
      <c r="M11" s="26"/>
      <c r="N11" s="15"/>
      <c r="O11" s="15"/>
      <c r="P11" s="223" t="s">
        <v>24</v>
      </c>
      <c r="Q11" s="224"/>
      <c r="R11" s="230" t="s">
        <v>25</v>
      </c>
      <c r="S11" s="231"/>
      <c r="T11" s="231"/>
      <c r="U11" s="232"/>
      <c r="V11" s="230" t="s">
        <v>26</v>
      </c>
      <c r="W11" s="231"/>
      <c r="X11" s="231"/>
      <c r="Y11" s="232"/>
      <c r="Z11" s="230" t="s">
        <v>27</v>
      </c>
      <c r="AA11" s="231"/>
      <c r="AB11" s="231"/>
      <c r="AC11" s="232"/>
      <c r="AD11" s="27"/>
      <c r="AE11" s="14"/>
      <c r="AF11" s="212"/>
      <c r="AG11" s="213"/>
      <c r="AH11" s="214"/>
      <c r="AI11" s="206"/>
      <c r="AJ11" s="15"/>
      <c r="AK11" s="15"/>
      <c r="AL11" s="15"/>
      <c r="AM11" s="15"/>
      <c r="AN11" s="15"/>
      <c r="AO11" s="17"/>
      <c r="AS11" s="18"/>
      <c r="AT11" s="28" t="s">
        <v>28</v>
      </c>
      <c r="AU11" s="28">
        <f>SUM(AU8:AU10)</f>
        <v>0</v>
      </c>
      <c r="AV11" s="19"/>
      <c r="AW11" s="19"/>
      <c r="AX11" s="28" t="s">
        <v>28</v>
      </c>
      <c r="AY11" s="28">
        <f>SUM(AY8:AY10)</f>
        <v>0</v>
      </c>
      <c r="AZ11" s="19"/>
      <c r="BA11" s="215" t="str">
        <f>IF(Contagem!$AI$7&lt;&gt;0,AY11/Contagem!$AI$7,"")</f>
        <v/>
      </c>
      <c r="BB11" s="215"/>
      <c r="BC11" s="20"/>
    </row>
    <row r="12" spans="2:55" ht="12.95" customHeight="1" x14ac:dyDescent="0.25">
      <c r="B12" s="229"/>
      <c r="C12" s="229"/>
      <c r="D12" s="157" t="s">
        <v>29</v>
      </c>
      <c r="E12" s="157"/>
      <c r="F12" s="157"/>
      <c r="G12" s="157"/>
      <c r="H12" s="157"/>
      <c r="I12" s="157"/>
      <c r="J12" s="157"/>
      <c r="K12" s="157"/>
      <c r="L12" s="157"/>
      <c r="M12" s="26"/>
      <c r="N12" s="15"/>
      <c r="O12" s="15"/>
      <c r="P12" s="225"/>
      <c r="Q12" s="226"/>
      <c r="R12" s="158" t="s">
        <v>30</v>
      </c>
      <c r="S12" s="159"/>
      <c r="T12" s="166">
        <f>SUMIF(Table3[(I/A/E)],"I",Table3[PF])</f>
        <v>0</v>
      </c>
      <c r="U12" s="166"/>
      <c r="V12" s="160">
        <v>1</v>
      </c>
      <c r="W12" s="161"/>
      <c r="X12" s="161"/>
      <c r="Y12" s="162"/>
      <c r="Z12" s="163">
        <f>T12*V12</f>
        <v>0</v>
      </c>
      <c r="AA12" s="164"/>
      <c r="AB12" s="164"/>
      <c r="AC12" s="165"/>
      <c r="AE12" s="14"/>
      <c r="AF12" s="29" t="s">
        <v>31</v>
      </c>
      <c r="AG12" s="15"/>
      <c r="AH12" s="15"/>
      <c r="AI12" s="30"/>
      <c r="AJ12" s="15"/>
      <c r="AK12" s="15"/>
      <c r="AL12" s="15"/>
      <c r="AM12" s="15"/>
      <c r="AN12" s="15"/>
      <c r="AO12" s="17"/>
      <c r="AS12" s="31"/>
      <c r="AT12" s="21"/>
      <c r="AU12" s="21"/>
      <c r="AV12" s="21"/>
      <c r="AW12" s="21"/>
      <c r="AX12" s="21"/>
      <c r="AY12" s="21"/>
      <c r="AZ12" s="21"/>
      <c r="BA12" s="21"/>
      <c r="BB12" s="21"/>
      <c r="BC12" s="32"/>
    </row>
    <row r="13" spans="2:55" ht="12.95" customHeight="1" x14ac:dyDescent="0.25">
      <c r="B13" s="229"/>
      <c r="C13" s="229"/>
      <c r="D13" s="157" t="s">
        <v>32</v>
      </c>
      <c r="E13" s="157"/>
      <c r="F13" s="157"/>
      <c r="G13" s="157"/>
      <c r="H13" s="157"/>
      <c r="I13" s="157"/>
      <c r="J13" s="157"/>
      <c r="K13" s="157"/>
      <c r="L13" s="157"/>
      <c r="M13" s="26" t="s">
        <v>33</v>
      </c>
      <c r="N13" s="15"/>
      <c r="O13" s="15"/>
      <c r="P13" s="225"/>
      <c r="Q13" s="226"/>
      <c r="R13" s="158" t="s">
        <v>34</v>
      </c>
      <c r="S13" s="159"/>
      <c r="T13" s="166">
        <f>SUMIF(Table3[(I/A/E)],"A",Table3[PF])</f>
        <v>0</v>
      </c>
      <c r="U13" s="166"/>
      <c r="V13" s="160">
        <v>0.5</v>
      </c>
      <c r="W13" s="161"/>
      <c r="X13" s="161"/>
      <c r="Y13" s="162"/>
      <c r="Z13" s="163">
        <f>T13*V13</f>
        <v>0</v>
      </c>
      <c r="AA13" s="164"/>
      <c r="AB13" s="164"/>
      <c r="AC13" s="165"/>
      <c r="AE13" s="14"/>
      <c r="AF13" s="209" t="s">
        <v>35</v>
      </c>
      <c r="AG13" s="210"/>
      <c r="AH13" s="211"/>
      <c r="AI13" s="205">
        <f>(Contagem!AU27+Contagem!AU28+Contagem!AU29)*35+(Contagem!AU33+Contagem!AU34+Contagem!AU35)*15</f>
        <v>0</v>
      </c>
      <c r="AJ13" s="15"/>
      <c r="AK13" s="15"/>
      <c r="AL13" s="15"/>
      <c r="AM13" s="15"/>
      <c r="AN13" s="15"/>
      <c r="AO13" s="17"/>
      <c r="AS13" s="18"/>
      <c r="AT13" s="19"/>
      <c r="AU13" s="19"/>
      <c r="AV13" s="19"/>
      <c r="AW13" s="19"/>
      <c r="AX13" s="19"/>
      <c r="AY13" s="19"/>
      <c r="AZ13" s="19"/>
      <c r="BA13" s="19"/>
      <c r="BB13" s="19"/>
      <c r="BC13" s="20"/>
    </row>
    <row r="14" spans="2:55" ht="12.95" customHeight="1" x14ac:dyDescent="0.25">
      <c r="B14" s="229"/>
      <c r="C14" s="229"/>
      <c r="D14" s="157" t="s">
        <v>36</v>
      </c>
      <c r="E14" s="157"/>
      <c r="F14" s="157"/>
      <c r="G14" s="157"/>
      <c r="H14" s="157"/>
      <c r="I14" s="157"/>
      <c r="J14" s="157"/>
      <c r="K14" s="157"/>
      <c r="L14" s="157"/>
      <c r="M14" s="26"/>
      <c r="N14" s="15"/>
      <c r="O14" s="15"/>
      <c r="P14" s="227"/>
      <c r="Q14" s="228"/>
      <c r="R14" s="158" t="s">
        <v>37</v>
      </c>
      <c r="S14" s="159"/>
      <c r="T14" s="166">
        <f>SUMIF(Table3[(I/A/E)],"E",Table3[PF])</f>
        <v>0</v>
      </c>
      <c r="U14" s="166"/>
      <c r="V14" s="160">
        <v>0.5</v>
      </c>
      <c r="W14" s="161"/>
      <c r="X14" s="161"/>
      <c r="Y14" s="162"/>
      <c r="Z14" s="163">
        <f>T14*V14</f>
        <v>0</v>
      </c>
      <c r="AA14" s="164"/>
      <c r="AB14" s="164"/>
      <c r="AC14" s="165"/>
      <c r="AE14" s="14"/>
      <c r="AF14" s="212"/>
      <c r="AG14" s="213"/>
      <c r="AH14" s="214"/>
      <c r="AI14" s="206"/>
      <c r="AO14" s="17"/>
      <c r="AS14" s="18"/>
      <c r="AT14" s="19" t="s">
        <v>38</v>
      </c>
      <c r="AU14" s="21">
        <f>COUNTIF(Table3[ctl],"SEL")</f>
        <v>0</v>
      </c>
      <c r="AV14" s="19"/>
      <c r="AW14" s="22" t="s">
        <v>14</v>
      </c>
      <c r="AX14" s="22" t="s">
        <v>19</v>
      </c>
      <c r="AY14" s="21">
        <f>AU14*4</f>
        <v>0</v>
      </c>
      <c r="AZ14" s="19"/>
      <c r="BA14" s="19"/>
      <c r="BB14" s="19"/>
      <c r="BC14" s="20"/>
    </row>
    <row r="15" spans="2:55" ht="12" customHeight="1" x14ac:dyDescent="0.2">
      <c r="S15" s="33"/>
      <c r="AE15" s="14"/>
      <c r="AF15" s="15"/>
      <c r="AG15" s="15"/>
      <c r="AH15" s="15"/>
      <c r="AI15" s="15"/>
      <c r="AO15" s="17"/>
      <c r="AS15" s="18"/>
      <c r="AT15" s="19"/>
      <c r="AU15" s="21">
        <f>COUNTIF(Table3[ctl],"SEA")</f>
        <v>0</v>
      </c>
      <c r="AV15" s="19"/>
      <c r="AW15" s="22" t="s">
        <v>18</v>
      </c>
      <c r="AX15" s="22" t="s">
        <v>39</v>
      </c>
      <c r="AY15" s="21">
        <f>AU15*5</f>
        <v>0</v>
      </c>
      <c r="AZ15" s="19"/>
      <c r="BA15" s="19"/>
      <c r="BB15" s="19"/>
      <c r="BC15" s="20"/>
    </row>
    <row r="16" spans="2:55" ht="12" customHeight="1" x14ac:dyDescent="0.2">
      <c r="B16" s="168" t="s">
        <v>40</v>
      </c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70"/>
      <c r="AE16" s="14"/>
      <c r="AF16" s="34"/>
      <c r="AO16" s="17"/>
      <c r="AS16" s="18"/>
      <c r="AT16" s="19"/>
      <c r="AU16" s="21">
        <f>COUNTIF(Table3[ctl],"SEH")</f>
        <v>0</v>
      </c>
      <c r="AV16" s="19"/>
      <c r="AW16" s="22" t="s">
        <v>21</v>
      </c>
      <c r="AX16" s="22" t="s">
        <v>41</v>
      </c>
      <c r="AY16" s="21">
        <f>AU16*7</f>
        <v>0</v>
      </c>
      <c r="AZ16" s="19"/>
      <c r="BA16" s="19"/>
      <c r="BB16" s="19"/>
      <c r="BC16" s="20"/>
    </row>
    <row r="17" spans="2:55" ht="12" customHeight="1" x14ac:dyDescent="0.2">
      <c r="B17" s="178" t="s">
        <v>42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80"/>
      <c r="Y17" s="35" t="s">
        <v>43</v>
      </c>
      <c r="Z17" s="176">
        <f>Funções!F6</f>
        <v>0</v>
      </c>
      <c r="AA17" s="176"/>
      <c r="AB17" s="176"/>
      <c r="AC17" s="176"/>
      <c r="AE17" s="14"/>
      <c r="AF17" s="36"/>
      <c r="AG17" s="37"/>
      <c r="AH17" s="38"/>
      <c r="AI17" s="39" t="s">
        <v>44</v>
      </c>
      <c r="AJ17" s="39" t="s">
        <v>45</v>
      </c>
      <c r="AK17" s="39" t="s">
        <v>13</v>
      </c>
      <c r="AL17" s="39" t="s">
        <v>38</v>
      </c>
      <c r="AM17" s="39" t="s">
        <v>46</v>
      </c>
      <c r="AN17" s="39" t="s">
        <v>47</v>
      </c>
      <c r="AO17" s="17"/>
      <c r="AS17" s="18"/>
      <c r="AT17" s="19"/>
      <c r="AU17" s="19"/>
      <c r="AV17" s="19"/>
      <c r="AW17" s="22"/>
      <c r="AX17" s="22"/>
      <c r="AY17" s="19"/>
      <c r="AZ17" s="19"/>
      <c r="BA17" s="19"/>
      <c r="BB17" s="19"/>
      <c r="BC17" s="20"/>
    </row>
    <row r="18" spans="2:55" ht="15" x14ac:dyDescent="0.2">
      <c r="B18" s="178" t="s">
        <v>48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80"/>
      <c r="Y18" s="35" t="s">
        <v>43</v>
      </c>
      <c r="Z18" s="174">
        <f>Funções!F7</f>
        <v>0</v>
      </c>
      <c r="AA18" s="174"/>
      <c r="AB18" s="174"/>
      <c r="AC18" s="174"/>
      <c r="AE18" s="14"/>
      <c r="AF18" s="40" t="s">
        <v>49</v>
      </c>
      <c r="AG18" s="41"/>
      <c r="AH18" s="42"/>
      <c r="AI18" s="43">
        <f>Funções!AG8</f>
        <v>0</v>
      </c>
      <c r="AJ18" s="43">
        <f>Funções!AF8</f>
        <v>0</v>
      </c>
      <c r="AK18" s="43">
        <f>Funções!AE8</f>
        <v>0</v>
      </c>
      <c r="AL18" s="43">
        <f>Funções!AC8</f>
        <v>0</v>
      </c>
      <c r="AM18" s="43">
        <f>Funções!AD8</f>
        <v>0</v>
      </c>
      <c r="AN18" s="44">
        <f>SUM(AI18:AM18)</f>
        <v>0</v>
      </c>
      <c r="AO18" s="17"/>
      <c r="AS18" s="18"/>
      <c r="AT18" s="28" t="s">
        <v>28</v>
      </c>
      <c r="AU18" s="28">
        <f>SUM(AU14:AU16)</f>
        <v>0</v>
      </c>
      <c r="AV18" s="19"/>
      <c r="AW18" s="19"/>
      <c r="AX18" s="28" t="s">
        <v>28</v>
      </c>
      <c r="AY18" s="28">
        <f>SUM(AY14:AY16)</f>
        <v>0</v>
      </c>
      <c r="AZ18" s="19"/>
      <c r="BA18" s="250" t="str">
        <f>IF(Contagem!$AI$7&lt;&gt;0,AY18/Contagem!$AI$7,"")</f>
        <v/>
      </c>
      <c r="BB18" s="250"/>
      <c r="BC18" s="20"/>
    </row>
    <row r="19" spans="2:55" ht="12" customHeight="1" x14ac:dyDescent="0.2">
      <c r="B19" s="178" t="s">
        <v>50</v>
      </c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80"/>
      <c r="Y19" s="52" t="s">
        <v>51</v>
      </c>
      <c r="Z19" s="181">
        <v>6</v>
      </c>
      <c r="AA19" s="182"/>
      <c r="AB19" s="182"/>
      <c r="AC19" s="183"/>
      <c r="AE19" s="45"/>
      <c r="AF19" s="40" t="s">
        <v>52</v>
      </c>
      <c r="AG19" s="41"/>
      <c r="AH19" s="42"/>
      <c r="AI19" s="43">
        <f>Funções!AB8</f>
        <v>0</v>
      </c>
      <c r="AJ19" s="43">
        <f>Funções!AA8</f>
        <v>0</v>
      </c>
      <c r="AK19" s="43">
        <f>Funções!Z8</f>
        <v>0</v>
      </c>
      <c r="AL19" s="4">
        <f>Funções!X8</f>
        <v>0</v>
      </c>
      <c r="AM19" s="4">
        <f>Funções!Y8</f>
        <v>0</v>
      </c>
      <c r="AN19" s="5">
        <f>SUM(AI19:AM19)</f>
        <v>0</v>
      </c>
      <c r="AO19" s="46"/>
      <c r="AS19" s="31"/>
      <c r="AT19" s="21"/>
      <c r="AU19" s="21"/>
      <c r="AV19" s="21"/>
      <c r="AW19" s="21"/>
      <c r="AX19" s="21"/>
      <c r="AY19" s="21"/>
      <c r="AZ19" s="21"/>
      <c r="BA19" s="21"/>
      <c r="BB19" s="21"/>
      <c r="BC19" s="32"/>
    </row>
    <row r="20" spans="2:55" ht="12" customHeight="1" x14ac:dyDescent="0.2">
      <c r="B20" s="178" t="s">
        <v>53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80"/>
      <c r="Y20" s="35" t="s">
        <v>54</v>
      </c>
      <c r="Z20" s="176">
        <f>Z18*Z19</f>
        <v>0</v>
      </c>
      <c r="AA20" s="176"/>
      <c r="AB20" s="176"/>
      <c r="AC20" s="176"/>
      <c r="AE20" s="47"/>
      <c r="AF20" s="40" t="s">
        <v>55</v>
      </c>
      <c r="AG20" s="41"/>
      <c r="AH20" s="42"/>
      <c r="AI20" s="43">
        <f>Funções!W8</f>
        <v>0</v>
      </c>
      <c r="AJ20" s="43">
        <f>Funções!V8</f>
        <v>0</v>
      </c>
      <c r="AK20" s="43">
        <f>Funções!U8</f>
        <v>0</v>
      </c>
      <c r="AL20" s="4">
        <f>Funções!S8</f>
        <v>0</v>
      </c>
      <c r="AM20" s="4">
        <f>Funções!T8</f>
        <v>0</v>
      </c>
      <c r="AN20" s="5">
        <f>SUM(AI20:AM20)</f>
        <v>0</v>
      </c>
      <c r="AO20" s="17"/>
      <c r="AS20" s="18"/>
      <c r="AT20" s="19"/>
      <c r="AU20" s="19"/>
      <c r="AV20" s="19"/>
      <c r="AW20" s="19"/>
      <c r="AX20" s="19"/>
      <c r="AY20" s="19"/>
      <c r="AZ20" s="19"/>
      <c r="BA20" s="19"/>
      <c r="BB20" s="19"/>
      <c r="BC20" s="20"/>
    </row>
    <row r="21" spans="2:55" ht="12.75" x14ac:dyDescent="0.2">
      <c r="B21" s="184" t="s">
        <v>56</v>
      </c>
      <c r="C21" s="184"/>
      <c r="D21" s="184"/>
      <c r="E21" s="184"/>
      <c r="F21" s="184"/>
      <c r="G21" s="184"/>
      <c r="H21" s="184"/>
      <c r="I21" s="218" t="s">
        <v>57</v>
      </c>
      <c r="J21" s="219"/>
      <c r="K21" s="219"/>
      <c r="L21" s="219"/>
      <c r="M21" s="219"/>
      <c r="N21" s="219"/>
      <c r="O21" s="220"/>
      <c r="P21" s="221" t="s">
        <v>58</v>
      </c>
      <c r="Q21" s="222"/>
      <c r="R21" s="222"/>
      <c r="S21" s="222"/>
      <c r="T21" s="222"/>
      <c r="U21" s="222"/>
      <c r="V21" s="222"/>
      <c r="W21" s="48"/>
      <c r="X21" s="49"/>
      <c r="Y21" s="52" t="s">
        <v>59</v>
      </c>
      <c r="Z21" s="175"/>
      <c r="AA21" s="175"/>
      <c r="AB21" s="175"/>
      <c r="AC21" s="175"/>
      <c r="AE21" s="47"/>
      <c r="AF21" s="40" t="s">
        <v>47</v>
      </c>
      <c r="AG21" s="41"/>
      <c r="AH21" s="42"/>
      <c r="AI21" s="44">
        <f t="shared" ref="AI21:AN21" si="0">SUM(AI18:AI20)</f>
        <v>0</v>
      </c>
      <c r="AJ21" s="44">
        <f t="shared" si="0"/>
        <v>0</v>
      </c>
      <c r="AK21" s="44">
        <f t="shared" si="0"/>
        <v>0</v>
      </c>
      <c r="AL21" s="5">
        <f t="shared" si="0"/>
        <v>0</v>
      </c>
      <c r="AM21" s="5">
        <f t="shared" si="0"/>
        <v>0</v>
      </c>
      <c r="AN21" s="10">
        <f t="shared" si="0"/>
        <v>0</v>
      </c>
      <c r="AO21" s="17"/>
      <c r="AS21" s="18"/>
      <c r="AT21" s="19" t="s">
        <v>46</v>
      </c>
      <c r="AU21" s="21">
        <f>COUNTIF(Table3[ctl],"CEL")</f>
        <v>0</v>
      </c>
      <c r="AV21" s="19"/>
      <c r="AW21" s="22" t="s">
        <v>14</v>
      </c>
      <c r="AX21" s="22" t="s">
        <v>15</v>
      </c>
      <c r="AY21" s="21">
        <f>AU21*3</f>
        <v>0</v>
      </c>
      <c r="AZ21" s="19"/>
      <c r="BA21" s="19"/>
      <c r="BB21" s="19"/>
      <c r="BC21" s="20"/>
    </row>
    <row r="22" spans="2:55" ht="12" customHeight="1" x14ac:dyDescent="0.2">
      <c r="B22" s="178" t="s">
        <v>60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80"/>
      <c r="Y22" s="35" t="s">
        <v>59</v>
      </c>
      <c r="Z22" s="176">
        <f>IF(I21="Ponto de Função", Z18*Z21, Z21*Z20)</f>
        <v>0</v>
      </c>
      <c r="AA22" s="176"/>
      <c r="AB22" s="176"/>
      <c r="AC22" s="176"/>
      <c r="AE22" s="47"/>
      <c r="AO22" s="17"/>
      <c r="AS22" s="18"/>
      <c r="AT22" s="19"/>
      <c r="AU22" s="21">
        <f>COUNTIF(Table3[ctl],"CEA")</f>
        <v>0</v>
      </c>
      <c r="AV22" s="19"/>
      <c r="AW22" s="22" t="s">
        <v>18</v>
      </c>
      <c r="AX22" s="22" t="s">
        <v>19</v>
      </c>
      <c r="AY22" s="21">
        <f>AU22*4</f>
        <v>0</v>
      </c>
      <c r="AZ22" s="19"/>
      <c r="BA22" s="19"/>
      <c r="BB22" s="19"/>
      <c r="BC22" s="20"/>
    </row>
    <row r="23" spans="2:55" ht="12" customHeight="1" x14ac:dyDescent="0.2"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E23" s="47"/>
      <c r="AF23" s="217" t="s">
        <v>61</v>
      </c>
      <c r="AG23" s="217"/>
      <c r="AH23" s="217"/>
      <c r="AI23" s="217"/>
      <c r="AJ23" s="217"/>
      <c r="AK23" s="217"/>
      <c r="AL23" s="217"/>
      <c r="AM23" s="217"/>
      <c r="AN23" s="217"/>
      <c r="AO23" s="17"/>
      <c r="AS23" s="18"/>
      <c r="AT23" s="19"/>
      <c r="AU23" s="21">
        <f>COUNTIF(Table3[ctl],"CEH")</f>
        <v>0</v>
      </c>
      <c r="AV23" s="19"/>
      <c r="AW23" s="22" t="s">
        <v>21</v>
      </c>
      <c r="AX23" s="22" t="s">
        <v>22</v>
      </c>
      <c r="AY23" s="21">
        <f>AU23*6</f>
        <v>0</v>
      </c>
      <c r="AZ23" s="19"/>
      <c r="BA23" s="19"/>
      <c r="BB23" s="19"/>
      <c r="BC23" s="20"/>
    </row>
    <row r="24" spans="2:55" ht="12" customHeight="1" x14ac:dyDescent="0.2">
      <c r="B24" s="168" t="s">
        <v>62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70"/>
      <c r="AE24" s="50"/>
      <c r="AF24" s="34"/>
      <c r="AG24" s="34"/>
      <c r="AH24" s="34"/>
      <c r="AI24" s="34"/>
      <c r="AJ24" s="34"/>
      <c r="AK24" s="34"/>
      <c r="AL24" s="34"/>
      <c r="AM24" s="34"/>
      <c r="AN24" s="34"/>
      <c r="AO24" s="51"/>
      <c r="AS24" s="18"/>
      <c r="AT24" s="28" t="s">
        <v>28</v>
      </c>
      <c r="AU24" s="28">
        <f>SUM(AU21:AU23)</f>
        <v>0</v>
      </c>
      <c r="AV24" s="19"/>
      <c r="AW24" s="19"/>
      <c r="AX24" s="28" t="s">
        <v>28</v>
      </c>
      <c r="AY24" s="28">
        <f>SUM(AY21:AY23)</f>
        <v>0</v>
      </c>
      <c r="AZ24" s="19"/>
      <c r="BA24" s="251" t="str">
        <f>IF(Contagem!$AI$7&lt;&gt;0,AY24/Contagem!$AI$7,"")</f>
        <v/>
      </c>
      <c r="BB24" s="251"/>
      <c r="BC24" s="20"/>
    </row>
    <row r="25" spans="2:55" ht="12" customHeight="1" x14ac:dyDescent="0.2">
      <c r="B25" s="171" t="s">
        <v>63</v>
      </c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3"/>
      <c r="V25" s="177" t="s">
        <v>64</v>
      </c>
      <c r="W25" s="177"/>
      <c r="X25" s="177"/>
      <c r="Y25" s="177"/>
      <c r="Z25" s="177" t="s">
        <v>65</v>
      </c>
      <c r="AA25" s="177"/>
      <c r="AB25" s="177"/>
      <c r="AC25" s="177"/>
      <c r="AS25" s="31"/>
      <c r="AT25" s="21"/>
      <c r="AU25" s="21"/>
      <c r="AV25" s="21"/>
      <c r="AW25" s="21"/>
      <c r="AX25" s="21"/>
      <c r="AY25" s="21"/>
      <c r="AZ25" s="21"/>
      <c r="BA25" s="21"/>
      <c r="BB25" s="21"/>
      <c r="BC25" s="32"/>
    </row>
    <row r="26" spans="2:55" ht="12" customHeight="1" x14ac:dyDescent="0.2">
      <c r="B26" s="178" t="s">
        <v>66</v>
      </c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80"/>
      <c r="V26" s="202">
        <v>7.0000000000000007E-2</v>
      </c>
      <c r="W26" s="202"/>
      <c r="X26" s="202"/>
      <c r="Y26" s="202"/>
      <c r="Z26" s="199">
        <f>Z20*V26</f>
        <v>0</v>
      </c>
      <c r="AA26" s="200"/>
      <c r="AB26" s="200"/>
      <c r="AC26" s="201"/>
      <c r="AE26" s="207" t="s">
        <v>67</v>
      </c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S26" s="18"/>
      <c r="AT26" s="19"/>
      <c r="AU26" s="19"/>
      <c r="AV26" s="19"/>
      <c r="AW26" s="19"/>
      <c r="AX26" s="19"/>
      <c r="AY26" s="19"/>
      <c r="AZ26" s="19"/>
      <c r="BA26" s="19"/>
      <c r="BB26" s="19"/>
      <c r="BC26" s="20"/>
    </row>
    <row r="27" spans="2:55" ht="12" customHeight="1" x14ac:dyDescent="0.2">
      <c r="B27" s="178" t="s">
        <v>68</v>
      </c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80"/>
      <c r="V27" s="202">
        <v>0.17</v>
      </c>
      <c r="W27" s="202"/>
      <c r="X27" s="202"/>
      <c r="Y27" s="202"/>
      <c r="Z27" s="204">
        <f>Z20*V27</f>
        <v>0</v>
      </c>
      <c r="AA27" s="204"/>
      <c r="AB27" s="204"/>
      <c r="AC27" s="204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S27" s="18"/>
      <c r="AT27" s="19" t="s">
        <v>44</v>
      </c>
      <c r="AU27" s="21">
        <f>COUNTIF(Table3[ctl],"ALIL")</f>
        <v>0</v>
      </c>
      <c r="AV27" s="19"/>
      <c r="AW27" s="19" t="s">
        <v>14</v>
      </c>
      <c r="AX27" s="19" t="s">
        <v>41</v>
      </c>
      <c r="AY27" s="21">
        <f>AU27*7</f>
        <v>0</v>
      </c>
      <c r="AZ27" s="19"/>
      <c r="BA27" s="19"/>
      <c r="BB27" s="19"/>
      <c r="BC27" s="20"/>
    </row>
    <row r="28" spans="2:55" ht="12" customHeight="1" x14ac:dyDescent="0.2">
      <c r="B28" s="178" t="s">
        <v>69</v>
      </c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80"/>
      <c r="V28" s="202">
        <v>0.08</v>
      </c>
      <c r="W28" s="202"/>
      <c r="X28" s="202"/>
      <c r="Y28" s="202"/>
      <c r="Z28" s="204">
        <f>Z20*V28</f>
        <v>0</v>
      </c>
      <c r="AA28" s="204"/>
      <c r="AB28" s="204"/>
      <c r="AC28" s="204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S28" s="18"/>
      <c r="AT28" s="19"/>
      <c r="AU28" s="21">
        <f>COUNTIF(Table3[ctl],"ALIA")</f>
        <v>0</v>
      </c>
      <c r="AV28" s="19"/>
      <c r="AW28" s="19" t="s">
        <v>18</v>
      </c>
      <c r="AX28" s="19" t="s">
        <v>70</v>
      </c>
      <c r="AY28" s="21">
        <f>AU28*10</f>
        <v>0</v>
      </c>
      <c r="AZ28" s="19"/>
      <c r="BA28" s="19"/>
      <c r="BB28" s="19"/>
      <c r="BC28" s="20"/>
    </row>
    <row r="29" spans="2:55" ht="12" customHeight="1" x14ac:dyDescent="0.2">
      <c r="B29" s="178" t="s">
        <v>71</v>
      </c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80"/>
      <c r="V29" s="202">
        <v>0.45</v>
      </c>
      <c r="W29" s="202"/>
      <c r="X29" s="202"/>
      <c r="Y29" s="202"/>
      <c r="Z29" s="204">
        <f>Z20*V29</f>
        <v>0</v>
      </c>
      <c r="AA29" s="204"/>
      <c r="AB29" s="204"/>
      <c r="AC29" s="204"/>
      <c r="AE29" s="241" t="s">
        <v>72</v>
      </c>
      <c r="AF29" s="242"/>
      <c r="AG29" s="242"/>
      <c r="AH29" s="242"/>
      <c r="AI29" s="242"/>
      <c r="AJ29" s="242"/>
      <c r="AK29" s="242"/>
      <c r="AL29" s="242"/>
      <c r="AM29" s="242"/>
      <c r="AN29" s="242"/>
      <c r="AO29" s="243"/>
      <c r="AS29" s="18"/>
      <c r="AT29" s="19"/>
      <c r="AU29" s="25">
        <f>COUNTIF(Table3[ctl],"ALIH")</f>
        <v>0</v>
      </c>
      <c r="AV29" s="19"/>
      <c r="AW29" s="19" t="s">
        <v>21</v>
      </c>
      <c r="AX29" s="19" t="s">
        <v>73</v>
      </c>
      <c r="AY29" s="21">
        <f>AU29*15</f>
        <v>0</v>
      </c>
      <c r="AZ29" s="19"/>
      <c r="BA29" s="19"/>
      <c r="BB29" s="19"/>
      <c r="BC29" s="20"/>
    </row>
    <row r="30" spans="2:55" ht="12" customHeight="1" x14ac:dyDescent="0.2">
      <c r="B30" s="178" t="s">
        <v>74</v>
      </c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80"/>
      <c r="V30" s="202">
        <v>0.18</v>
      </c>
      <c r="W30" s="202"/>
      <c r="X30" s="202"/>
      <c r="Y30" s="202"/>
      <c r="Z30" s="199">
        <f>Z20*V30</f>
        <v>0</v>
      </c>
      <c r="AA30" s="200"/>
      <c r="AB30" s="200"/>
      <c r="AC30" s="201"/>
      <c r="AE30" s="244"/>
      <c r="AF30" s="245"/>
      <c r="AG30" s="245"/>
      <c r="AH30" s="245"/>
      <c r="AI30" s="245"/>
      <c r="AJ30" s="245"/>
      <c r="AK30" s="245"/>
      <c r="AL30" s="245"/>
      <c r="AM30" s="245"/>
      <c r="AN30" s="245"/>
      <c r="AO30" s="246"/>
      <c r="AS30" s="18"/>
      <c r="AT30" s="28" t="s">
        <v>28</v>
      </c>
      <c r="AU30" s="28">
        <f>SUM(AU27:AU29)</f>
        <v>0</v>
      </c>
      <c r="AV30" s="19"/>
      <c r="AW30" s="19"/>
      <c r="AX30" s="28" t="s">
        <v>28</v>
      </c>
      <c r="AY30" s="28">
        <f>SUM(AY27:AY29)</f>
        <v>0</v>
      </c>
      <c r="AZ30" s="19"/>
      <c r="BA30" s="252" t="str">
        <f>IF(Contagem!$AI$7&lt;&gt;0,AY30/Contagem!$AI$7,"")</f>
        <v/>
      </c>
      <c r="BB30" s="252"/>
      <c r="BC30" s="20"/>
    </row>
    <row r="31" spans="2:55" ht="12" customHeight="1" x14ac:dyDescent="0.2">
      <c r="B31" s="178" t="s">
        <v>75</v>
      </c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80"/>
      <c r="V31" s="202">
        <v>0.05</v>
      </c>
      <c r="W31" s="202"/>
      <c r="X31" s="202"/>
      <c r="Y31" s="202"/>
      <c r="Z31" s="204">
        <f>Z20*V31</f>
        <v>0</v>
      </c>
      <c r="AA31" s="204"/>
      <c r="AB31" s="204"/>
      <c r="AC31" s="204"/>
      <c r="AE31" s="244"/>
      <c r="AF31" s="245"/>
      <c r="AG31" s="245"/>
      <c r="AH31" s="245"/>
      <c r="AI31" s="245"/>
      <c r="AJ31" s="245"/>
      <c r="AK31" s="245"/>
      <c r="AL31" s="245"/>
      <c r="AM31" s="245"/>
      <c r="AN31" s="245"/>
      <c r="AO31" s="246"/>
      <c r="AS31" s="31"/>
      <c r="AT31" s="21"/>
      <c r="AU31" s="21"/>
      <c r="AV31" s="21"/>
      <c r="AW31" s="21"/>
      <c r="AX31" s="21"/>
      <c r="AY31" s="21"/>
      <c r="AZ31" s="21"/>
      <c r="BA31" s="21"/>
      <c r="BB31" s="21"/>
      <c r="BC31" s="32"/>
    </row>
    <row r="32" spans="2:55" ht="15" x14ac:dyDescent="0.2">
      <c r="B32" s="171" t="s">
        <v>76</v>
      </c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3"/>
      <c r="Z32" s="203">
        <f>SUM(Z26:AC31)</f>
        <v>0</v>
      </c>
      <c r="AA32" s="203"/>
      <c r="AB32" s="203"/>
      <c r="AC32" s="203"/>
      <c r="AE32" s="244"/>
      <c r="AF32" s="245"/>
      <c r="AG32" s="245"/>
      <c r="AH32" s="245"/>
      <c r="AI32" s="245"/>
      <c r="AJ32" s="245"/>
      <c r="AK32" s="245"/>
      <c r="AL32" s="245"/>
      <c r="AM32" s="245"/>
      <c r="AN32" s="245"/>
      <c r="AO32" s="246"/>
      <c r="AS32" s="18"/>
      <c r="AT32" s="19"/>
      <c r="AU32" s="19"/>
      <c r="AV32" s="19"/>
      <c r="AW32" s="19"/>
      <c r="AX32" s="19"/>
      <c r="AY32" s="19"/>
      <c r="AZ32" s="19"/>
      <c r="BA32" s="19"/>
      <c r="BB32" s="19"/>
      <c r="BC32" s="20"/>
    </row>
    <row r="33" spans="2:55" ht="12" customHeight="1" x14ac:dyDescent="0.2">
      <c r="S33" s="33"/>
      <c r="AE33" s="244"/>
      <c r="AF33" s="245"/>
      <c r="AG33" s="245"/>
      <c r="AH33" s="245"/>
      <c r="AI33" s="245"/>
      <c r="AJ33" s="245"/>
      <c r="AK33" s="245"/>
      <c r="AL33" s="245"/>
      <c r="AM33" s="245"/>
      <c r="AN33" s="245"/>
      <c r="AO33" s="246"/>
      <c r="AS33" s="18"/>
      <c r="AT33" s="19" t="s">
        <v>45</v>
      </c>
      <c r="AU33" s="21">
        <f>COUNTIF(Table3[ctl],"AIEL")</f>
        <v>0</v>
      </c>
      <c r="AV33" s="19"/>
      <c r="AW33" s="19" t="s">
        <v>14</v>
      </c>
      <c r="AX33" s="19" t="s">
        <v>39</v>
      </c>
      <c r="AY33" s="21">
        <f>AU33*5</f>
        <v>0</v>
      </c>
      <c r="AZ33" s="19"/>
      <c r="BA33" s="19"/>
      <c r="BB33" s="19"/>
      <c r="BC33" s="20"/>
    </row>
    <row r="34" spans="2:55" ht="12" customHeight="1" x14ac:dyDescent="0.2">
      <c r="B34" s="216" t="s">
        <v>77</v>
      </c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E34" s="244"/>
      <c r="AF34" s="245"/>
      <c r="AG34" s="245"/>
      <c r="AH34" s="245"/>
      <c r="AI34" s="245"/>
      <c r="AJ34" s="245"/>
      <c r="AK34" s="245"/>
      <c r="AL34" s="245"/>
      <c r="AM34" s="245"/>
      <c r="AN34" s="245"/>
      <c r="AO34" s="246"/>
      <c r="AS34" s="18"/>
      <c r="AT34" s="19"/>
      <c r="AU34" s="21">
        <f>COUNTIF(Table3[ctl],"AIEA")</f>
        <v>0</v>
      </c>
      <c r="AV34" s="19"/>
      <c r="AW34" s="19" t="s">
        <v>18</v>
      </c>
      <c r="AX34" s="19" t="s">
        <v>41</v>
      </c>
      <c r="AY34" s="21">
        <f>AU34*7</f>
        <v>0</v>
      </c>
      <c r="AZ34" s="19"/>
      <c r="BA34" s="19"/>
      <c r="BB34" s="19"/>
      <c r="BC34" s="20"/>
    </row>
    <row r="35" spans="2:55" ht="12" customHeight="1" x14ac:dyDescent="0.2">
      <c r="B35" s="148" t="s">
        <v>78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50"/>
      <c r="AE35" s="244"/>
      <c r="AF35" s="245"/>
      <c r="AG35" s="245"/>
      <c r="AH35" s="245"/>
      <c r="AI35" s="245"/>
      <c r="AJ35" s="245"/>
      <c r="AK35" s="245"/>
      <c r="AL35" s="245"/>
      <c r="AM35" s="245"/>
      <c r="AN35" s="245"/>
      <c r="AO35" s="246"/>
      <c r="AS35" s="18"/>
      <c r="AT35" s="19"/>
      <c r="AU35" s="21">
        <f>COUNTIF(Table3[ctl],"AIEH")</f>
        <v>0</v>
      </c>
      <c r="AV35" s="19"/>
      <c r="AW35" s="19" t="s">
        <v>21</v>
      </c>
      <c r="AX35" s="19" t="s">
        <v>70</v>
      </c>
      <c r="AY35" s="21">
        <f>AU35*10</f>
        <v>0</v>
      </c>
      <c r="AZ35" s="19"/>
      <c r="BA35" s="19"/>
      <c r="BB35" s="19"/>
      <c r="BC35" s="20"/>
    </row>
    <row r="36" spans="2:55" ht="12" customHeight="1" x14ac:dyDescent="0.2">
      <c r="B36" s="151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3"/>
      <c r="AE36" s="244"/>
      <c r="AF36" s="245"/>
      <c r="AG36" s="245"/>
      <c r="AH36" s="245"/>
      <c r="AI36" s="245"/>
      <c r="AJ36" s="245"/>
      <c r="AK36" s="245"/>
      <c r="AL36" s="245"/>
      <c r="AM36" s="245"/>
      <c r="AN36" s="245"/>
      <c r="AO36" s="246"/>
      <c r="AS36" s="18"/>
      <c r="AT36" s="28" t="s">
        <v>28</v>
      </c>
      <c r="AU36" s="28">
        <f>SUM(AU33:AU35)</f>
        <v>0</v>
      </c>
      <c r="AV36" s="19"/>
      <c r="AW36" s="19"/>
      <c r="AX36" s="28" t="s">
        <v>28</v>
      </c>
      <c r="AY36" s="28">
        <f>SUM(AY33:AY35)</f>
        <v>0</v>
      </c>
      <c r="AZ36" s="19"/>
      <c r="BA36" s="253" t="str">
        <f>IF(Contagem!$AI$7&lt;&gt;0,AY36/Contagem!$AI$7,"")</f>
        <v/>
      </c>
      <c r="BB36" s="253"/>
      <c r="BC36" s="20"/>
    </row>
    <row r="37" spans="2:55" ht="12" customHeight="1" x14ac:dyDescent="0.2">
      <c r="B37" s="151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3"/>
      <c r="AE37" s="244"/>
      <c r="AF37" s="245"/>
      <c r="AG37" s="245"/>
      <c r="AH37" s="245"/>
      <c r="AI37" s="245"/>
      <c r="AJ37" s="245"/>
      <c r="AK37" s="245"/>
      <c r="AL37" s="245"/>
      <c r="AM37" s="245"/>
      <c r="AN37" s="245"/>
      <c r="AO37" s="246"/>
      <c r="AS37" s="31"/>
      <c r="AT37" s="21"/>
      <c r="AU37" s="21"/>
      <c r="AV37" s="21"/>
      <c r="AW37" s="21"/>
      <c r="AX37" s="21"/>
      <c r="AY37" s="21"/>
      <c r="AZ37" s="21"/>
      <c r="BA37" s="21"/>
      <c r="BB37" s="21"/>
      <c r="BC37" s="32"/>
    </row>
    <row r="38" spans="2:55" ht="12" customHeight="1" x14ac:dyDescent="0.2">
      <c r="B38" s="151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3"/>
      <c r="AE38" s="247"/>
      <c r="AF38" s="248"/>
      <c r="AG38" s="248"/>
      <c r="AH38" s="248"/>
      <c r="AI38" s="248"/>
      <c r="AJ38" s="248"/>
      <c r="AK38" s="248"/>
      <c r="AL38" s="248"/>
      <c r="AM38" s="248"/>
      <c r="AN38" s="248"/>
      <c r="AO38" s="249"/>
    </row>
    <row r="39" spans="2:55" ht="12" customHeight="1" x14ac:dyDescent="0.2">
      <c r="B39" s="151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3"/>
    </row>
    <row r="40" spans="2:55" ht="12" customHeight="1" x14ac:dyDescent="0.2">
      <c r="B40" s="151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3"/>
      <c r="AE40" s="139" t="s">
        <v>79</v>
      </c>
      <c r="AF40" s="140"/>
      <c r="AG40" s="140"/>
      <c r="AH40" s="140"/>
      <c r="AI40" s="140"/>
      <c r="AJ40" s="140"/>
      <c r="AK40" s="140"/>
      <c r="AL40" s="140"/>
      <c r="AM40" s="140"/>
      <c r="AN40" s="140"/>
      <c r="AO40" s="141"/>
    </row>
    <row r="41" spans="2:55" ht="12" customHeight="1" x14ac:dyDescent="0.2">
      <c r="B41" s="151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3"/>
      <c r="AE41" s="142"/>
      <c r="AF41" s="143"/>
      <c r="AG41" s="143"/>
      <c r="AH41" s="143"/>
      <c r="AI41" s="143"/>
      <c r="AJ41" s="143"/>
      <c r="AK41" s="143"/>
      <c r="AL41" s="143"/>
      <c r="AM41" s="143"/>
      <c r="AN41" s="143"/>
      <c r="AO41" s="144"/>
    </row>
    <row r="42" spans="2:55" ht="12" customHeight="1" x14ac:dyDescent="0.2">
      <c r="B42" s="151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3"/>
      <c r="AE42" s="142"/>
      <c r="AF42" s="143"/>
      <c r="AG42" s="143"/>
      <c r="AH42" s="143"/>
      <c r="AI42" s="143"/>
      <c r="AJ42" s="143"/>
      <c r="AK42" s="143"/>
      <c r="AL42" s="143"/>
      <c r="AM42" s="143"/>
      <c r="AN42" s="143"/>
      <c r="AO42" s="144"/>
    </row>
    <row r="43" spans="2:55" ht="12" customHeight="1" x14ac:dyDescent="0.2">
      <c r="B43" s="151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3"/>
      <c r="AE43" s="142"/>
      <c r="AF43" s="143"/>
      <c r="AG43" s="143"/>
      <c r="AH43" s="143"/>
      <c r="AI43" s="143"/>
      <c r="AJ43" s="143"/>
      <c r="AK43" s="143"/>
      <c r="AL43" s="143"/>
      <c r="AM43" s="143"/>
      <c r="AN43" s="143"/>
      <c r="AO43" s="144"/>
    </row>
    <row r="44" spans="2:55" ht="12" customHeight="1" x14ac:dyDescent="0.2">
      <c r="B44" s="151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3"/>
      <c r="AE44" s="142"/>
      <c r="AF44" s="143"/>
      <c r="AG44" s="143"/>
      <c r="AH44" s="143"/>
      <c r="AI44" s="143"/>
      <c r="AJ44" s="143"/>
      <c r="AK44" s="143"/>
      <c r="AL44" s="143"/>
      <c r="AM44" s="143"/>
      <c r="AN44" s="143"/>
      <c r="AO44" s="144"/>
    </row>
    <row r="45" spans="2:55" ht="12" customHeight="1" x14ac:dyDescent="0.2">
      <c r="B45" s="151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3"/>
      <c r="AE45" s="142"/>
      <c r="AF45" s="143"/>
      <c r="AG45" s="143"/>
      <c r="AH45" s="143"/>
      <c r="AI45" s="143"/>
      <c r="AJ45" s="143"/>
      <c r="AK45" s="143"/>
      <c r="AL45" s="143"/>
      <c r="AM45" s="143"/>
      <c r="AN45" s="143"/>
      <c r="AO45" s="144"/>
    </row>
    <row r="46" spans="2:55" ht="12" customHeight="1" x14ac:dyDescent="0.2">
      <c r="B46" s="151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3"/>
      <c r="AE46" s="142"/>
      <c r="AF46" s="143"/>
      <c r="AG46" s="143"/>
      <c r="AH46" s="143"/>
      <c r="AI46" s="143"/>
      <c r="AJ46" s="143"/>
      <c r="AK46" s="143"/>
      <c r="AL46" s="143"/>
      <c r="AM46" s="143"/>
      <c r="AN46" s="143"/>
      <c r="AO46" s="144"/>
    </row>
    <row r="47" spans="2:55" ht="12" customHeight="1" x14ac:dyDescent="0.2">
      <c r="B47" s="151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3"/>
      <c r="AE47" s="142"/>
      <c r="AF47" s="143"/>
      <c r="AG47" s="143"/>
      <c r="AH47" s="143"/>
      <c r="AI47" s="143"/>
      <c r="AJ47" s="143"/>
      <c r="AK47" s="143"/>
      <c r="AL47" s="143"/>
      <c r="AM47" s="143"/>
      <c r="AN47" s="143"/>
      <c r="AO47" s="144"/>
    </row>
    <row r="48" spans="2:55" ht="12" customHeight="1" x14ac:dyDescent="0.2">
      <c r="B48" s="151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3"/>
      <c r="AE48" s="142"/>
      <c r="AF48" s="143"/>
      <c r="AG48" s="143"/>
      <c r="AH48" s="143"/>
      <c r="AI48" s="143"/>
      <c r="AJ48" s="143"/>
      <c r="AK48" s="143"/>
      <c r="AL48" s="143"/>
      <c r="AM48" s="143"/>
      <c r="AN48" s="143"/>
      <c r="AO48" s="144"/>
    </row>
    <row r="49" spans="2:41" ht="12" customHeight="1" x14ac:dyDescent="0.2">
      <c r="B49" s="151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3"/>
      <c r="AE49" s="145"/>
      <c r="AF49" s="146"/>
      <c r="AG49" s="146"/>
      <c r="AH49" s="146"/>
      <c r="AI49" s="146"/>
      <c r="AJ49" s="146"/>
      <c r="AK49" s="146"/>
      <c r="AL49" s="146"/>
      <c r="AM49" s="146"/>
      <c r="AN49" s="146"/>
      <c r="AO49" s="147"/>
    </row>
    <row r="50" spans="2:41" ht="12" customHeight="1" x14ac:dyDescent="0.2">
      <c r="B50" s="151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3"/>
    </row>
    <row r="51" spans="2:41" ht="12" customHeight="1" x14ac:dyDescent="0.2">
      <c r="B51" s="151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3"/>
    </row>
    <row r="52" spans="2:41" ht="12" customHeight="1" x14ac:dyDescent="0.2">
      <c r="B52" s="151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3"/>
    </row>
    <row r="53" spans="2:41" ht="12" customHeight="1" x14ac:dyDescent="0.2">
      <c r="B53" s="151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3"/>
    </row>
    <row r="54" spans="2:41" ht="12" customHeight="1" x14ac:dyDescent="0.2">
      <c r="B54" s="15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3"/>
    </row>
    <row r="55" spans="2:41" ht="12" customHeight="1" x14ac:dyDescent="0.2">
      <c r="B55" s="151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3"/>
    </row>
    <row r="56" spans="2:41" ht="12" customHeight="1" x14ac:dyDescent="0.2">
      <c r="B56" s="154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6"/>
    </row>
  </sheetData>
  <mergeCells count="99">
    <mergeCell ref="AE29:AO38"/>
    <mergeCell ref="BA18:BB18"/>
    <mergeCell ref="BA24:BB24"/>
    <mergeCell ref="BA30:BB30"/>
    <mergeCell ref="BA36:BB36"/>
    <mergeCell ref="AE26:AO28"/>
    <mergeCell ref="BA5:BC6"/>
    <mergeCell ref="AS5:AT6"/>
    <mergeCell ref="AU5:AX6"/>
    <mergeCell ref="AY5:AY6"/>
    <mergeCell ref="AZ5:AZ6"/>
    <mergeCell ref="BA11:BB11"/>
    <mergeCell ref="B34:AC34"/>
    <mergeCell ref="AF23:AN23"/>
    <mergeCell ref="I21:O21"/>
    <mergeCell ref="P21:V21"/>
    <mergeCell ref="P11:Q14"/>
    <mergeCell ref="B17:X17"/>
    <mergeCell ref="Z17:AC17"/>
    <mergeCell ref="B11:C14"/>
    <mergeCell ref="R11:U11"/>
    <mergeCell ref="V11:Y11"/>
    <mergeCell ref="Z11:AC11"/>
    <mergeCell ref="R12:S12"/>
    <mergeCell ref="R13:S13"/>
    <mergeCell ref="V13:Y13"/>
    <mergeCell ref="AF13:AH14"/>
    <mergeCell ref="AI13:AI14"/>
    <mergeCell ref="AE2:AO4"/>
    <mergeCell ref="AF7:AH8"/>
    <mergeCell ref="AI7:AI8"/>
    <mergeCell ref="AF10:AH11"/>
    <mergeCell ref="AI10:AI11"/>
    <mergeCell ref="Z13:AC13"/>
    <mergeCell ref="V12:Y12"/>
    <mergeCell ref="Z12:AC12"/>
    <mergeCell ref="Z32:AC32"/>
    <mergeCell ref="B30:U30"/>
    <mergeCell ref="V26:Y26"/>
    <mergeCell ref="V27:Y27"/>
    <mergeCell ref="V28:Y28"/>
    <mergeCell ref="V29:Y29"/>
    <mergeCell ref="V30:Y30"/>
    <mergeCell ref="B32:Y32"/>
    <mergeCell ref="Z31:AC31"/>
    <mergeCell ref="Z26:AC26"/>
    <mergeCell ref="Z27:AC27"/>
    <mergeCell ref="Z28:AC28"/>
    <mergeCell ref="Z29:AC29"/>
    <mergeCell ref="Z30:AC30"/>
    <mergeCell ref="B31:U31"/>
    <mergeCell ref="V31:Y31"/>
    <mergeCell ref="B26:U26"/>
    <mergeCell ref="B27:U27"/>
    <mergeCell ref="B28:U28"/>
    <mergeCell ref="B29:U29"/>
    <mergeCell ref="Y8:AC8"/>
    <mergeCell ref="B9:F9"/>
    <mergeCell ref="G9:U9"/>
    <mergeCell ref="V9:X9"/>
    <mergeCell ref="Y9:AC9"/>
    <mergeCell ref="B8:F8"/>
    <mergeCell ref="G8:U8"/>
    <mergeCell ref="V8:X8"/>
    <mergeCell ref="B2:AC4"/>
    <mergeCell ref="B5:F5"/>
    <mergeCell ref="G5:AC5"/>
    <mergeCell ref="B6:F6"/>
    <mergeCell ref="B7:F7"/>
    <mergeCell ref="G7:AC7"/>
    <mergeCell ref="G6:AC6"/>
    <mergeCell ref="Z18:AC18"/>
    <mergeCell ref="Z21:AC21"/>
    <mergeCell ref="Z22:AC22"/>
    <mergeCell ref="Z25:AC25"/>
    <mergeCell ref="B18:X18"/>
    <mergeCell ref="Z20:AC20"/>
    <mergeCell ref="Z19:AC19"/>
    <mergeCell ref="B19:X19"/>
    <mergeCell ref="V25:Y25"/>
    <mergeCell ref="B20:X20"/>
    <mergeCell ref="B21:H21"/>
    <mergeCell ref="B22:X22"/>
    <mergeCell ref="AE40:AO49"/>
    <mergeCell ref="B35:AC56"/>
    <mergeCell ref="D11:L11"/>
    <mergeCell ref="D12:L12"/>
    <mergeCell ref="D13:L13"/>
    <mergeCell ref="D14:L14"/>
    <mergeCell ref="R14:S14"/>
    <mergeCell ref="V14:Y14"/>
    <mergeCell ref="Z14:AC14"/>
    <mergeCell ref="T12:U12"/>
    <mergeCell ref="T13:U13"/>
    <mergeCell ref="T14:U14"/>
    <mergeCell ref="B23:AC23"/>
    <mergeCell ref="B16:AC16"/>
    <mergeCell ref="B24:AC24"/>
    <mergeCell ref="B25:U25"/>
  </mergeCells>
  <dataValidations disablePrompts="1" count="1">
    <dataValidation type="list" allowBlank="1" showInputMessage="1" showErrorMessage="1" sqref="I21:O21" xr:uid="{00000000-0002-0000-0000-000000000000}">
      <formula1>"Ponto de Função, Homem/Hora"</formula1>
    </dataValidation>
  </dataValidations>
  <hyperlinks>
    <hyperlink ref="AF23" r:id="rId1" xr:uid="{00000000-0004-0000-0000-000000000000}"/>
    <hyperlink ref="B10:AB10" r:id="rId2" display="Veja aqui as orientações para preenchimento da planilha (adicionar link intranet)" xr:uid="{00000000-0004-0000-0000-000001000000}"/>
    <hyperlink ref="AF23:AN23" r:id="rId3" display="Veja aqui as orientações para preenchimento da planilha (adicionar link intranet)" xr:uid="{00000000-0004-0000-0000-000002000000}"/>
  </hyperlinks>
  <pageMargins left="0.78749999999999998" right="0.78749999999999998" top="0.78749999999999998" bottom="0.78749999999999998" header="0.51180555555555551" footer="0.51180555555555551"/>
  <pageSetup paperSize="9" firstPageNumber="0" orientation="portrait" horizontalDpi="300" verticalDpi="300" r:id="rId4"/>
  <headerFooter alignWithMargins="0">
    <oddFooter>&amp;R&amp;"Tahoma,Normal"&amp;8&amp;F - &amp;A</oddFooter>
  </headerFooter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B1:AW44"/>
  <sheetViews>
    <sheetView showGridLines="0" topLeftCell="B1" zoomScaleNormal="100" zoomScaleSheetLayoutView="100" workbookViewId="0">
      <selection activeCell="B33" sqref="B33"/>
    </sheetView>
  </sheetViews>
  <sheetFormatPr defaultColWidth="9.140625" defaultRowHeight="11.25" x14ac:dyDescent="0.15"/>
  <cols>
    <col min="1" max="1" width="3.5703125" style="15" customWidth="1"/>
    <col min="2" max="2" width="89.42578125" style="15" customWidth="1"/>
    <col min="3" max="3" width="6.7109375" style="15" hidden="1" customWidth="1"/>
    <col min="4" max="4" width="7" style="15" bestFit="1" customWidth="1"/>
    <col min="5" max="5" width="10.42578125" style="15" bestFit="1" customWidth="1"/>
    <col min="6" max="6" width="8.42578125" style="15" customWidth="1"/>
    <col min="7" max="7" width="9.140625" style="15" customWidth="1"/>
    <col min="8" max="8" width="4.85546875" style="15" hidden="1" customWidth="1"/>
    <col min="9" max="9" width="5.42578125" style="15" hidden="1" customWidth="1"/>
    <col min="10" max="10" width="2.42578125" style="15" hidden="1" customWidth="1"/>
    <col min="11" max="11" width="11.28515625" style="15" bestFit="1" customWidth="1"/>
    <col min="12" max="12" width="6.140625" style="15" bestFit="1" customWidth="1"/>
    <col min="13" max="13" width="6.28515625" style="15" customWidth="1"/>
    <col min="14" max="17" width="9.28515625" style="15" customWidth="1"/>
    <col min="18" max="18" width="16.5703125" style="15" bestFit="1" customWidth="1"/>
    <col min="19" max="26" width="9.140625" style="15" hidden="1" customWidth="1"/>
    <col min="27" max="27" width="13" style="15" hidden="1" customWidth="1"/>
    <col min="28" max="28" width="7.7109375" style="15" hidden="1" customWidth="1"/>
    <col min="29" max="29" width="8.7109375" style="15" hidden="1" customWidth="1"/>
    <col min="30" max="32" width="0" style="15" hidden="1" customWidth="1"/>
    <col min="33" max="33" width="16.140625" style="15" hidden="1" customWidth="1"/>
    <col min="34" max="34" width="69.28515625" style="15" customWidth="1"/>
    <col min="35" max="35" width="15.42578125" style="15" bestFit="1" customWidth="1"/>
    <col min="36" max="36" width="10.7109375" style="15" bestFit="1" customWidth="1"/>
    <col min="37" max="38" width="16.28515625" style="15" customWidth="1"/>
    <col min="39" max="40" width="15.7109375" style="15" customWidth="1"/>
    <col min="41" max="41" width="15.5703125" style="15" customWidth="1"/>
    <col min="42" max="43" width="16.7109375" style="15" customWidth="1"/>
    <col min="44" max="45" width="15.140625" style="15" customWidth="1"/>
    <col min="46" max="47" width="16.42578125" style="15" customWidth="1"/>
    <col min="48" max="48" width="16.140625" style="15" customWidth="1"/>
    <col min="49" max="49" width="46" style="15" customWidth="1"/>
    <col min="50" max="50" width="12.7109375" style="15" customWidth="1"/>
    <col min="51" max="16384" width="9.140625" style="15"/>
  </cols>
  <sheetData>
    <row r="1" spans="2:49" ht="12" customHeight="1" x14ac:dyDescent="0.15"/>
    <row r="2" spans="2:49" ht="18" customHeight="1" x14ac:dyDescent="0.15">
      <c r="D2" s="126" t="s">
        <v>80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</row>
    <row r="3" spans="2:49" x14ac:dyDescent="0.15"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</row>
    <row r="5" spans="2:49" ht="11.25" customHeight="1" x14ac:dyDescent="0.15">
      <c r="B5" s="127" t="s">
        <v>81</v>
      </c>
      <c r="C5" s="128"/>
      <c r="D5" s="131" t="s">
        <v>42</v>
      </c>
      <c r="E5" s="132"/>
      <c r="F5" s="132"/>
      <c r="G5" s="132"/>
      <c r="H5" s="53"/>
      <c r="I5" s="53"/>
      <c r="J5" s="54"/>
      <c r="K5" s="131" t="s">
        <v>82</v>
      </c>
      <c r="L5" s="132"/>
      <c r="M5" s="132"/>
      <c r="N5" s="138"/>
      <c r="O5" s="73"/>
      <c r="P5" s="73"/>
      <c r="Q5" s="73"/>
      <c r="R5" s="73"/>
      <c r="S5" s="72"/>
      <c r="T5" s="55"/>
      <c r="U5" s="55"/>
      <c r="V5" s="55"/>
      <c r="W5" s="55"/>
      <c r="X5" s="55"/>
      <c r="Y5" s="55"/>
      <c r="Z5" s="55"/>
      <c r="AA5" s="55"/>
      <c r="AB5" s="55"/>
      <c r="AC5" s="56"/>
      <c r="AD5" s="56"/>
      <c r="AE5" s="56"/>
      <c r="AF5" s="56"/>
      <c r="AG5" s="56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</row>
    <row r="6" spans="2:49" ht="11.25" customHeight="1" x14ac:dyDescent="0.15">
      <c r="B6" s="127" t="str">
        <f>Contagem!B6 &amp; ": " &amp; UPPER(Contagem!G6)</f>
        <v xml:space="preserve">Aplicação: </v>
      </c>
      <c r="C6" s="128"/>
      <c r="D6" s="127" t="s">
        <v>8</v>
      </c>
      <c r="E6" s="128"/>
      <c r="F6" s="129">
        <f>SUM(Table3[PF])</f>
        <v>0</v>
      </c>
      <c r="G6" s="130"/>
      <c r="H6" s="58"/>
      <c r="I6" s="58"/>
      <c r="J6" s="59"/>
      <c r="K6" s="127" t="s">
        <v>83</v>
      </c>
      <c r="L6" s="128"/>
      <c r="M6" s="129">
        <f>Contagem!Z21</f>
        <v>0</v>
      </c>
      <c r="N6" s="130"/>
      <c r="O6" s="73"/>
      <c r="P6" s="74"/>
      <c r="Q6" s="74"/>
      <c r="R6" s="74"/>
      <c r="S6" s="72"/>
      <c r="T6" s="55"/>
      <c r="U6" s="55"/>
      <c r="V6" s="55"/>
      <c r="W6" s="55"/>
      <c r="X6" s="55"/>
      <c r="Y6" s="55"/>
      <c r="Z6" s="55"/>
      <c r="AA6" s="55"/>
      <c r="AB6" s="55"/>
      <c r="AC6" s="56"/>
      <c r="AD6" s="56"/>
      <c r="AE6" s="56"/>
      <c r="AF6" s="56"/>
      <c r="AG6" s="56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</row>
    <row r="7" spans="2:49" ht="11.25" customHeight="1" x14ac:dyDescent="0.15">
      <c r="B7" s="127" t="s">
        <v>84</v>
      </c>
      <c r="C7" s="128"/>
      <c r="D7" s="127" t="s">
        <v>85</v>
      </c>
      <c r="E7" s="128"/>
      <c r="F7" s="133">
        <f>SUM(Table3[PFA])</f>
        <v>0</v>
      </c>
      <c r="G7" s="133"/>
      <c r="H7" s="60"/>
      <c r="I7" s="60"/>
      <c r="J7" s="61"/>
      <c r="K7" s="127" t="s">
        <v>86</v>
      </c>
      <c r="L7" s="128"/>
      <c r="M7" s="129">
        <f>Contagem!Z22</f>
        <v>0</v>
      </c>
      <c r="N7" s="130"/>
      <c r="O7" s="73"/>
      <c r="P7" s="74"/>
      <c r="Q7" s="74"/>
      <c r="R7" s="74"/>
      <c r="S7" s="72"/>
      <c r="T7" s="55"/>
      <c r="U7" s="55"/>
      <c r="V7" s="55"/>
      <c r="W7" s="55"/>
      <c r="X7" s="55"/>
      <c r="Y7" s="55"/>
      <c r="Z7" s="55"/>
      <c r="AA7" s="55"/>
      <c r="AB7" s="55"/>
      <c r="AC7" s="56"/>
      <c r="AD7" s="56"/>
      <c r="AE7" s="56"/>
      <c r="AF7" s="56"/>
      <c r="AG7" s="56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</row>
    <row r="8" spans="2:49" s="62" customFormat="1" ht="12" customHeight="1" x14ac:dyDescent="0.2">
      <c r="L8" s="63"/>
      <c r="M8" s="63"/>
      <c r="N8" s="63"/>
      <c r="O8" s="63"/>
      <c r="P8" s="63"/>
      <c r="Q8" s="63"/>
      <c r="R8" s="63"/>
      <c r="S8" s="64">
        <f>SUM(Table3[SE Excluído])</f>
        <v>0</v>
      </c>
      <c r="T8" s="65">
        <f>SUM(Table3[CE Excluído])</f>
        <v>0</v>
      </c>
      <c r="U8" s="65">
        <f>SUM(Table3[EE Excluído])</f>
        <v>0</v>
      </c>
      <c r="V8" s="64">
        <f>SUM(Table3[AIE Excluído])</f>
        <v>0</v>
      </c>
      <c r="W8" s="65">
        <f>SUM(Table3[ALI Excluído])</f>
        <v>0</v>
      </c>
      <c r="X8" s="65">
        <f>SUM(Table3[SE Alterada])</f>
        <v>0</v>
      </c>
      <c r="Y8" s="65">
        <f>SUM(Table3[CE Alterada])</f>
        <v>0</v>
      </c>
      <c r="Z8" s="65">
        <f>SUM(Table3[EE Alterada])</f>
        <v>0</v>
      </c>
      <c r="AA8" s="65">
        <f>SUM(Table3[AIE Alterado])</f>
        <v>0</v>
      </c>
      <c r="AB8" s="64">
        <f>SUM(Table3[ALI Alterado])</f>
        <v>0</v>
      </c>
      <c r="AC8" s="65">
        <f>SUM(Table3[SE Incluída])</f>
        <v>0</v>
      </c>
      <c r="AD8" s="65">
        <f>SUM(Table3[CE Incluída])</f>
        <v>0</v>
      </c>
      <c r="AE8" s="64">
        <f>SUM(Table3[EE Incluída])</f>
        <v>0</v>
      </c>
      <c r="AF8" s="65">
        <f>SUM(Table3[AIE Incluído])</f>
        <v>0</v>
      </c>
      <c r="AG8" s="65">
        <f>SUM(Table3[ALI Incluído])</f>
        <v>0</v>
      </c>
      <c r="AW8" s="63"/>
    </row>
    <row r="9" spans="2:49" s="62" customFormat="1" ht="12" customHeight="1" x14ac:dyDescent="0.15">
      <c r="B9" s="134" t="s">
        <v>87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75"/>
      <c r="N9" s="136" t="s">
        <v>88</v>
      </c>
      <c r="O9" s="137"/>
      <c r="P9" s="137"/>
      <c r="Q9" s="137"/>
      <c r="R9" s="80" t="s">
        <v>89</v>
      </c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9"/>
      <c r="AG9" s="76" t="s">
        <v>89</v>
      </c>
      <c r="AH9" s="77"/>
      <c r="AW9" s="63"/>
    </row>
    <row r="10" spans="2:49" s="62" customFormat="1" ht="12" customHeight="1" x14ac:dyDescent="0.15">
      <c r="B10" s="66" t="s">
        <v>90</v>
      </c>
      <c r="C10" s="67" t="s">
        <v>91</v>
      </c>
      <c r="D10" s="68" t="s">
        <v>92</v>
      </c>
      <c r="E10" s="68" t="s">
        <v>93</v>
      </c>
      <c r="F10" s="68" t="s">
        <v>94</v>
      </c>
      <c r="G10" s="68" t="s">
        <v>95</v>
      </c>
      <c r="H10" s="68" t="s">
        <v>96</v>
      </c>
      <c r="I10" s="68" t="s">
        <v>97</v>
      </c>
      <c r="J10" s="68" t="s">
        <v>98</v>
      </c>
      <c r="K10" s="68" t="s">
        <v>99</v>
      </c>
      <c r="L10" s="68" t="s">
        <v>43</v>
      </c>
      <c r="M10" s="68" t="s">
        <v>100</v>
      </c>
      <c r="N10" s="68" t="s">
        <v>28</v>
      </c>
      <c r="O10" s="68" t="s">
        <v>101</v>
      </c>
      <c r="P10" s="68" t="s">
        <v>102</v>
      </c>
      <c r="Q10" s="68" t="s">
        <v>103</v>
      </c>
      <c r="R10" s="68" t="s">
        <v>104</v>
      </c>
      <c r="S10" s="69" t="s">
        <v>105</v>
      </c>
      <c r="T10" s="69" t="s">
        <v>106</v>
      </c>
      <c r="U10" s="69" t="s">
        <v>107</v>
      </c>
      <c r="V10" s="69" t="s">
        <v>108</v>
      </c>
      <c r="W10" s="69" t="s">
        <v>109</v>
      </c>
      <c r="X10" s="69" t="s">
        <v>110</v>
      </c>
      <c r="Y10" s="69" t="s">
        <v>111</v>
      </c>
      <c r="Z10" s="69" t="s">
        <v>112</v>
      </c>
      <c r="AA10" s="69" t="s">
        <v>113</v>
      </c>
      <c r="AB10" s="69" t="s">
        <v>114</v>
      </c>
      <c r="AC10" s="69" t="s">
        <v>115</v>
      </c>
      <c r="AD10" s="69" t="s">
        <v>116</v>
      </c>
      <c r="AE10" s="69" t="s">
        <v>117</v>
      </c>
      <c r="AF10" s="69" t="s">
        <v>118</v>
      </c>
      <c r="AG10" s="69" t="s">
        <v>119</v>
      </c>
      <c r="AH10" s="70" t="s">
        <v>120</v>
      </c>
    </row>
    <row r="11" spans="2:49" s="62" customFormat="1" ht="12" customHeight="1" x14ac:dyDescent="0.2">
      <c r="B11" s="125"/>
      <c r="C11" s="1"/>
      <c r="D11" s="124"/>
      <c r="E11" s="2"/>
      <c r="F11" s="83"/>
      <c r="G11" s="120"/>
      <c r="H11" s="71">
        <f>IF(E11=0,0,IF(E11="I",Contagem!$V$12,IF(E11="A",Contagem!$V$13,Contagem!$V$14)))</f>
        <v>0</v>
      </c>
      <c r="I11" s="3" t="str">
        <f t="shared" ref="I11" si="0">CONCATENATE(D11,J11)</f>
        <v/>
      </c>
      <c r="J11" s="3" t="str">
        <f t="shared" ref="J11" si="1">IF(OR(ISBLANK(F11),ISBLANK(G11)),IF(OR(D11="ALI",D11="AIE"),"L",IF(ISBLANK(D11),"","A")),IF(D11="EE",IF(G11&gt;=3,IF(F11&gt;=5,"H","A"),IF(G11&gt;=2,IF(F11&gt;=16,"H",IF(F11&lt;=4,"L","A")),IF(F11&lt;=15,"L","A"))),IF(OR(D11="SE",D11="CE"),IF(G11&gt;=4,IF(F11&gt;=6,"H","A"),IF(G11&gt;=2,IF(F11&gt;=20,"H",IF(F11&lt;=5,"L","A")),IF(F11&lt;=19,"L","A"))),IF(OR(D11="ALI",D11="AIE"),IF(G11&gt;=6,IF(F11&gt;=20,"H","A"),IF(G11&gt;=2,IF(F11&gt;=51,"H",IF(F11&lt;=19,"L","A")),IF(F11&lt;=50,"L","A")))))))</f>
        <v/>
      </c>
      <c r="K11" s="81" t="str">
        <f t="shared" ref="K11" si="2">IF(J11="L","Baixa",IF(J11="A","Média",IF(J11="","","Alta")))</f>
        <v/>
      </c>
      <c r="L11" s="82" t="str">
        <f t="shared" ref="L11" si="3">IF(ISBLANK(D11),"",IF(D11="ALI",IF(J11="L",7,IF(J11="A",10,15)),IF(D11="AIE",IF(J11="L",5,IF(J11="A",7,10)),IF(D11="SE",IF(J11="L",4,IF(J11="A",5,7)),IF(OR(D11="EE",D11="CE"),IF(J11="L",3,IF(J11="A",4,6)))))))</f>
        <v/>
      </c>
      <c r="M11" s="84">
        <f t="shared" ref="M11" si="4">PRODUCT(L11,H11)</f>
        <v>0</v>
      </c>
      <c r="N11" s="85">
        <f>IF(LEN(Table3[[#This Row],[Tipo]])&gt;0, Table3[[#This Row],[PFA]]*Contagem!$Z$19, 0)</f>
        <v>0</v>
      </c>
      <c r="O11" s="85">
        <f>Table3[[#This Row],[Total]]*Contagem!$V$29</f>
        <v>0</v>
      </c>
      <c r="P11" s="85">
        <f>Table3[[#This Row],[Total]]*Contagem!$V$28</f>
        <v>0</v>
      </c>
      <c r="Q11" s="85">
        <f>Table3[[#This Row],[Total]]*Contagem!$V$30</f>
        <v>0</v>
      </c>
      <c r="R11" s="86"/>
      <c r="S11" s="87">
        <f t="shared" ref="S11" si="5">IF(AND(D11="SE",E11="E"),M11,0)</f>
        <v>0</v>
      </c>
      <c r="T11" s="87">
        <f t="shared" ref="T11" si="6">IF(AND(D11="CE",E11="E"),M11,0)</f>
        <v>0</v>
      </c>
      <c r="U11" s="87">
        <f t="shared" ref="U11" si="7">IF(AND(D11="EE",E11="E"),M11,0)</f>
        <v>0</v>
      </c>
      <c r="V11" s="87">
        <f t="shared" ref="V11" si="8">IF(AND(D11="AIE",E11="E"),M11,0)</f>
        <v>0</v>
      </c>
      <c r="W11" s="87">
        <f t="shared" ref="W11" si="9">IF(AND(D11="ALI",E11="E"),M11,0)</f>
        <v>0</v>
      </c>
      <c r="X11" s="87">
        <f t="shared" ref="X11" si="10">IF(AND(D11="SE",E11="A"),M11,0)</f>
        <v>0</v>
      </c>
      <c r="Y11" s="87">
        <f t="shared" ref="Y11" si="11">IF(AND(D11="CE",E11="A"),M11,0)</f>
        <v>0</v>
      </c>
      <c r="Z11" s="87">
        <f t="shared" ref="Z11" si="12">IF(AND(D11="EE",E11="A"),M11,0)</f>
        <v>0</v>
      </c>
      <c r="AA11" s="87">
        <f t="shared" ref="AA11" si="13">IF(AND(D11="AIE",E11="A"),M11,0)</f>
        <v>0</v>
      </c>
      <c r="AB11" s="87">
        <f t="shared" ref="AB11" si="14">IF(AND(D11="ALI",E11="A"),M11,0)</f>
        <v>0</v>
      </c>
      <c r="AC11" s="87">
        <f t="shared" ref="AC11" si="15">IF(AND(D11="SE",E11="I"),M11,0)</f>
        <v>0</v>
      </c>
      <c r="AD11" s="87">
        <f t="shared" ref="AD11" si="16">IF(AND(D11="CE",E11="I"),M11,0)</f>
        <v>0</v>
      </c>
      <c r="AE11" s="87">
        <f t="shared" ref="AE11" si="17">IF(AND(D11="EE",E11="I"),M11,0)</f>
        <v>0</v>
      </c>
      <c r="AF11" s="87">
        <f t="shared" ref="AF11" si="18">IF(AND(D11="AIE",E11="I"),M11,0)</f>
        <v>0</v>
      </c>
      <c r="AG11" s="88">
        <f t="shared" ref="AG11" si="19">IF(AND(D11="ALI",E11="I"),M11,0)</f>
        <v>0</v>
      </c>
      <c r="AH11" s="103"/>
    </row>
    <row r="12" spans="2:49" s="62" customFormat="1" ht="12" customHeight="1" x14ac:dyDescent="0.2">
      <c r="B12" s="124"/>
      <c r="C12" s="1"/>
      <c r="D12" s="124"/>
      <c r="E12" s="2"/>
      <c r="F12" s="83"/>
      <c r="G12" s="120"/>
      <c r="H12" s="71">
        <f>IF(E12=0,0,IF(E12="I",Contagem!$V$12,IF(E12="A",Contagem!$V$13,Contagem!$V$14)))</f>
        <v>0</v>
      </c>
      <c r="I12" s="3" t="str">
        <f>CONCATENATE(D12,J12)</f>
        <v/>
      </c>
      <c r="J12" s="3" t="str">
        <f>IF(OR(ISBLANK(F12),ISBLANK(G12)),IF(OR(D12="ALI",D12="AIE"),"L",IF(ISBLANK(D12),"","A")),IF(D12="EE",IF(G12&gt;=3,IF(F12&gt;=5,"H","A"),IF(G12&gt;=2,IF(F12&gt;=16,"H",IF(F12&lt;=4,"L","A")),IF(F12&lt;=15,"L","A"))),IF(OR(D12="SE",D12="CE"),IF(G12&gt;=4,IF(F12&gt;=6,"H","A"),IF(G12&gt;=2,IF(F12&gt;=20,"H",IF(F12&lt;=5,"L","A")),IF(F12&lt;=19,"L","A"))),IF(OR(D12="ALI",D12="AIE"),IF(G12&gt;=6,IF(F12&gt;=20,"H","A"),IF(G12&gt;=2,IF(F12&gt;=51,"H",IF(F12&lt;=19,"L","A")),IF(F12&lt;=50,"L","A")))))))</f>
        <v/>
      </c>
      <c r="K12" s="81" t="str">
        <f>IF(J12="L","Baixa",IF(J12="A","Média",IF(J12="","","Alta")))</f>
        <v/>
      </c>
      <c r="L12" s="82" t="str">
        <f>IF(ISBLANK(D12),"",IF(D12="ALI",IF(J12="L",7,IF(J12="A",10,15)),IF(D12="AIE",IF(J12="L",5,IF(J12="A",7,10)),IF(D12="SE",IF(J12="L",4,IF(J12="A",5,7)),IF(OR(D12="EE",D12="CE"),IF(J12="L",3,IF(J12="A",4,6)))))))</f>
        <v/>
      </c>
      <c r="M12" s="84">
        <f>PRODUCT(L12,H12)</f>
        <v>0</v>
      </c>
      <c r="N12" s="85">
        <f>IF(LEN(Table3[[#This Row],[Tipo]])&gt;0, Table3[[#This Row],[PFA]]*Contagem!$Z$19, 0)</f>
        <v>0</v>
      </c>
      <c r="O12" s="85">
        <f>Table3[[#This Row],[Total]]*Contagem!$V$29</f>
        <v>0</v>
      </c>
      <c r="P12" s="85">
        <f>Table3[[#This Row],[Total]]*Contagem!$V$28</f>
        <v>0</v>
      </c>
      <c r="Q12" s="85">
        <f>Table3[[#This Row],[Total]]*Contagem!$V$30</f>
        <v>0</v>
      </c>
      <c r="R12" s="86"/>
      <c r="S12" s="87">
        <f>IF(AND(D12="SE",E12="E"),M12,0)</f>
        <v>0</v>
      </c>
      <c r="T12" s="87">
        <f>IF(AND(D12="CE",E12="E"),M12,0)</f>
        <v>0</v>
      </c>
      <c r="U12" s="87">
        <f>IF(AND(D12="EE",E12="E"),M12,0)</f>
        <v>0</v>
      </c>
      <c r="V12" s="87">
        <f>IF(AND(D12="AIE",E12="E"),M12,0)</f>
        <v>0</v>
      </c>
      <c r="W12" s="87">
        <f>IF(AND(D12="ALI",E12="E"),M12,0)</f>
        <v>0</v>
      </c>
      <c r="X12" s="87">
        <f>IF(AND(D12="SE",E12="A"),M12,0)</f>
        <v>0</v>
      </c>
      <c r="Y12" s="87">
        <f>IF(AND(D12="CE",E12="A"),M12,0)</f>
        <v>0</v>
      </c>
      <c r="Z12" s="87">
        <f>IF(AND(D12="EE",E12="A"),M12,0)</f>
        <v>0</v>
      </c>
      <c r="AA12" s="87">
        <f>IF(AND(D12="AIE",E12="A"),M12,0)</f>
        <v>0</v>
      </c>
      <c r="AB12" s="87">
        <f>IF(AND(D12="ALI",E12="A"),M12,0)</f>
        <v>0</v>
      </c>
      <c r="AC12" s="87">
        <f>IF(AND(D12="SE",E12="I"),M12,0)</f>
        <v>0</v>
      </c>
      <c r="AD12" s="87">
        <f>IF(AND(D12="CE",E12="I"),M12,0)</f>
        <v>0</v>
      </c>
      <c r="AE12" s="87">
        <f>IF(AND(D12="EE",E12="I"),M12,0)</f>
        <v>0</v>
      </c>
      <c r="AF12" s="87">
        <f>IF(AND(D12="AIE",E12="I"),M12,0)</f>
        <v>0</v>
      </c>
      <c r="AG12" s="88">
        <f>IF(AND(D12="ALI",E12="I"),M12,0)</f>
        <v>0</v>
      </c>
      <c r="AH12" s="103"/>
    </row>
    <row r="13" spans="2:49" s="62" customFormat="1" x14ac:dyDescent="0.15">
      <c r="B13" s="122"/>
      <c r="D13" s="117"/>
      <c r="E13" s="118"/>
      <c r="F13" s="119"/>
      <c r="G13" s="120"/>
      <c r="H13" s="112">
        <f>IF(E13=0,0,IF(E13="I",Contagem!$V$12,IF(E13="A",Contagem!$V$13,Contagem!$V$14)))</f>
        <v>0</v>
      </c>
      <c r="I13" s="113" t="str">
        <f t="shared" ref="I13:I17" si="20">CONCATENATE(D13,J13)</f>
        <v/>
      </c>
      <c r="J13" s="113" t="str">
        <f t="shared" ref="J13:J17" si="21">IF(OR(ISBLANK(F13),ISBLANK(G13)),IF(OR(D13="ALI",D13="AIE"),"L",IF(ISBLANK(D13),"","A")),IF(D13="EE",IF(G13&gt;=3,IF(F13&gt;=5,"H","A"),IF(G13&gt;=2,IF(F13&gt;=16,"H",IF(F13&lt;=4,"L","A")),IF(F13&lt;=15,"L","A"))),IF(OR(D13="SE",D13="CE"),IF(G13&gt;=4,IF(F13&gt;=6,"H","A"),IF(G13&gt;=2,IF(F13&gt;=20,"H",IF(F13&lt;=5,"L","A")),IF(F13&lt;=19,"L","A"))),IF(OR(D13="ALI",D13="AIE"),IF(G13&gt;=6,IF(F13&gt;=20,"H","A"),IF(G13&gt;=2,IF(F13&gt;=51,"H",IF(F13&lt;=19,"L","A")),IF(F13&lt;=50,"L","A")))))))</f>
        <v/>
      </c>
      <c r="K13" s="114" t="str">
        <f t="shared" ref="K13:K17" si="22">IF(J13="L","Baixa",IF(J13="A","Média",IF(J13="","","Alta")))</f>
        <v/>
      </c>
      <c r="L13" s="115" t="str">
        <f t="shared" ref="L13:L17" si="23">IF(ISBLANK(D13),"",IF(D13="ALI",IF(J13="L",7,IF(J13="A",10,15)),IF(D13="AIE",IF(J13="L",5,IF(J13="A",7,10)),IF(D13="SE",IF(J13="L",4,IF(J13="A",5,7)),IF(OR(D13="EE",D13="CE"),IF(J13="L",3,IF(J13="A",4,6)))))))</f>
        <v/>
      </c>
      <c r="M13" s="84">
        <f t="shared" ref="M13:M17" si="24">PRODUCT(L13,H13)</f>
        <v>0</v>
      </c>
      <c r="N13" s="85">
        <f>IF(LEN(Table3[[#This Row],[Tipo]])&gt;0, Table3[[#This Row],[PFA]]*Contagem!$Z$19, 0)</f>
        <v>0</v>
      </c>
      <c r="O13" s="85">
        <f>Table3[[#This Row],[Total]]*Contagem!$V$29</f>
        <v>0</v>
      </c>
      <c r="P13" s="85">
        <f>Table3[[#This Row],[Total]]*Contagem!$V$28</f>
        <v>0</v>
      </c>
      <c r="Q13" s="85">
        <f>Table3[[#This Row],[Total]]*Contagem!$V$30</f>
        <v>0</v>
      </c>
      <c r="R13" s="86"/>
      <c r="S13" s="87">
        <f t="shared" ref="S13:S17" si="25">IF(AND(D13="SE",E13="E"),M13,0)</f>
        <v>0</v>
      </c>
      <c r="T13" s="87">
        <f t="shared" ref="T13:T17" si="26">IF(AND(D13="CE",E13="E"),M13,0)</f>
        <v>0</v>
      </c>
      <c r="U13" s="87">
        <f t="shared" ref="U13:U17" si="27">IF(AND(D13="EE",E13="E"),M13,0)</f>
        <v>0</v>
      </c>
      <c r="V13" s="87">
        <f t="shared" ref="V13:V17" si="28">IF(AND(D13="AIE",E13="E"),M13,0)</f>
        <v>0</v>
      </c>
      <c r="W13" s="87">
        <f t="shared" ref="W13:W17" si="29">IF(AND(D13="ALI",E13="E"),M13,0)</f>
        <v>0</v>
      </c>
      <c r="X13" s="87">
        <f t="shared" ref="X13:X17" si="30">IF(AND(D13="SE",E13="A"),M13,0)</f>
        <v>0</v>
      </c>
      <c r="Y13" s="87">
        <f t="shared" ref="Y13:Y17" si="31">IF(AND(D13="CE",E13="A"),M13,0)</f>
        <v>0</v>
      </c>
      <c r="Z13" s="87">
        <f t="shared" ref="Z13:Z17" si="32">IF(AND(D13="EE",E13="A"),M13,0)</f>
        <v>0</v>
      </c>
      <c r="AA13" s="87">
        <f t="shared" ref="AA13:AA17" si="33">IF(AND(D13="AIE",E13="A"),M13,0)</f>
        <v>0</v>
      </c>
      <c r="AB13" s="87">
        <f t="shared" ref="AB13:AB17" si="34">IF(AND(D13="ALI",E13="A"),M13,0)</f>
        <v>0</v>
      </c>
      <c r="AC13" s="87">
        <f t="shared" ref="AC13:AC17" si="35">IF(AND(D13="SE",E13="I"),M13,0)</f>
        <v>0</v>
      </c>
      <c r="AD13" s="87">
        <f t="shared" ref="AD13:AD17" si="36">IF(AND(D13="CE",E13="I"),M13,0)</f>
        <v>0</v>
      </c>
      <c r="AE13" s="87">
        <f t="shared" ref="AE13:AE17" si="37">IF(AND(D13="EE",E13="I"),M13,0)</f>
        <v>0</v>
      </c>
      <c r="AF13" s="87">
        <f t="shared" ref="AF13:AF17" si="38">IF(AND(D13="AIE",E13="I"),M13,0)</f>
        <v>0</v>
      </c>
      <c r="AG13" s="88">
        <f t="shared" ref="AG13:AG17" si="39">IF(AND(D13="ALI",E13="I"),M13,0)</f>
        <v>0</v>
      </c>
      <c r="AH13" s="103"/>
    </row>
    <row r="14" spans="2:49" s="62" customFormat="1" x14ac:dyDescent="0.15">
      <c r="B14" s="122"/>
      <c r="D14" s="117"/>
      <c r="E14" s="118"/>
      <c r="F14" s="119"/>
      <c r="G14" s="120"/>
      <c r="H14" s="112">
        <f>IF(E14=0,0,IF(E14="I",Contagem!$V$12,IF(E14="A",Contagem!$V$13,Contagem!$V$14)))</f>
        <v>0</v>
      </c>
      <c r="I14" s="113" t="str">
        <f>CONCATENATE(D14,J14)</f>
        <v/>
      </c>
      <c r="J14" s="113" t="str">
        <f>IF(OR(ISBLANK(F14),ISBLANK(G14)),IF(OR(D14="ALI",D14="AIE"),"L",IF(ISBLANK(D14),"","A")),IF(D14="EE",IF(G14&gt;=3,IF(F14&gt;=5,"H","A"),IF(G14&gt;=2,IF(F14&gt;=16,"H",IF(F14&lt;=4,"L","A")),IF(F14&lt;=15,"L","A"))),IF(OR(D14="SE",D14="CE"),IF(G14&gt;=4,IF(F14&gt;=6,"H","A"),IF(G14&gt;=2,IF(F14&gt;=20,"H",IF(F14&lt;=5,"L","A")),IF(F14&lt;=19,"L","A"))),IF(OR(D14="ALI",D14="AIE"),IF(G14&gt;=6,IF(F14&gt;=20,"H","A"),IF(G14&gt;=2,IF(F14&gt;=51,"H",IF(F14&lt;=19,"L","A")),IF(F14&lt;=50,"L","A")))))))</f>
        <v/>
      </c>
      <c r="K14" s="114" t="str">
        <f>IF(J14="L","Baixa",IF(J14="A","Média",IF(J14="","","Alta")))</f>
        <v/>
      </c>
      <c r="L14" s="115" t="str">
        <f>IF(ISBLANK(D14),"",IF(D14="ALI",IF(J14="L",7,IF(J14="A",10,15)),IF(D14="AIE",IF(J14="L",5,IF(J14="A",7,10)),IF(D14="SE",IF(J14="L",4,IF(J14="A",5,7)),IF(OR(D14="EE",D14="CE"),IF(J14="L",3,IF(J14="A",4,6)))))))</f>
        <v/>
      </c>
      <c r="M14" s="84">
        <f>PRODUCT(L14,H14)</f>
        <v>0</v>
      </c>
      <c r="N14" s="85">
        <f>IF(LEN(Table3[[#This Row],[Tipo]])&gt;0, Table3[[#This Row],[PFA]]*Contagem!$Z$19, 0)</f>
        <v>0</v>
      </c>
      <c r="O14" s="85">
        <f>Table3[[#This Row],[Total]]*Contagem!$V$29</f>
        <v>0</v>
      </c>
      <c r="P14" s="85">
        <f>Table3[[#This Row],[Total]]*Contagem!$V$28</f>
        <v>0</v>
      </c>
      <c r="Q14" s="85">
        <f>Table3[[#This Row],[Total]]*Contagem!$V$30</f>
        <v>0</v>
      </c>
      <c r="R14" s="86"/>
      <c r="S14" s="87">
        <f>IF(AND(D14="SE",E14="E"),M14,0)</f>
        <v>0</v>
      </c>
      <c r="T14" s="87">
        <f>IF(AND(D14="CE",E14="E"),M14,0)</f>
        <v>0</v>
      </c>
      <c r="U14" s="87">
        <f>IF(AND(D14="EE",E14="E"),M14,0)</f>
        <v>0</v>
      </c>
      <c r="V14" s="87">
        <f>IF(AND(D14="AIE",E14="E"),M14,0)</f>
        <v>0</v>
      </c>
      <c r="W14" s="87">
        <f>IF(AND(D14="ALI",E14="E"),M14,0)</f>
        <v>0</v>
      </c>
      <c r="X14" s="87">
        <f>IF(AND(D14="SE",E14="A"),M14,0)</f>
        <v>0</v>
      </c>
      <c r="Y14" s="87">
        <f>IF(AND(D14="CE",E14="A"),M14,0)</f>
        <v>0</v>
      </c>
      <c r="Z14" s="87">
        <f>IF(AND(D14="EE",E14="A"),M14,0)</f>
        <v>0</v>
      </c>
      <c r="AA14" s="87">
        <f>IF(AND(D14="AIE",E14="A"),M14,0)</f>
        <v>0</v>
      </c>
      <c r="AB14" s="87">
        <f>IF(AND(D14="ALI",E14="A"),M14,0)</f>
        <v>0</v>
      </c>
      <c r="AC14" s="87">
        <f>IF(AND(D14="SE",E14="I"),M14,0)</f>
        <v>0</v>
      </c>
      <c r="AD14" s="87">
        <f>IF(AND(D14="CE",E14="I"),M14,0)</f>
        <v>0</v>
      </c>
      <c r="AE14" s="87">
        <f>IF(AND(D14="EE",E14="I"),M14,0)</f>
        <v>0</v>
      </c>
      <c r="AF14" s="87">
        <f>IF(AND(D14="AIE",E14="I"),M14,0)</f>
        <v>0</v>
      </c>
      <c r="AG14" s="88">
        <f>IF(AND(D14="ALI",E14="I"),M14,0)</f>
        <v>0</v>
      </c>
      <c r="AH14" s="103"/>
    </row>
    <row r="15" spans="2:49" s="62" customFormat="1" x14ac:dyDescent="0.15">
      <c r="B15" s="122"/>
      <c r="D15" s="117"/>
      <c r="E15" s="118"/>
      <c r="F15" s="119"/>
      <c r="G15" s="120"/>
      <c r="H15" s="112">
        <f>IF(E15=0,0,IF(E15="I",Contagem!$V$12,IF(E15="A",Contagem!$V$13,Contagem!$V$14)))</f>
        <v>0</v>
      </c>
      <c r="I15" s="113" t="str">
        <f>CONCATENATE(D15,J15)</f>
        <v/>
      </c>
      <c r="J15" s="113" t="str">
        <f>IF(OR(ISBLANK(F15),ISBLANK(G15)),IF(OR(D15="ALI",D15="AIE"),"L",IF(ISBLANK(D15),"","A")),IF(D15="EE",IF(G15&gt;=3,IF(F15&gt;=5,"H","A"),IF(G15&gt;=2,IF(F15&gt;=16,"H",IF(F15&lt;=4,"L","A")),IF(F15&lt;=15,"L","A"))),IF(OR(D15="SE",D15="CE"),IF(G15&gt;=4,IF(F15&gt;=6,"H","A"),IF(G15&gt;=2,IF(F15&gt;=20,"H",IF(F15&lt;=5,"L","A")),IF(F15&lt;=19,"L","A"))),IF(OR(D15="ALI",D15="AIE"),IF(G15&gt;=6,IF(F15&gt;=20,"H","A"),IF(G15&gt;=2,IF(F15&gt;=51,"H",IF(F15&lt;=19,"L","A")),IF(F15&lt;=50,"L","A")))))))</f>
        <v/>
      </c>
      <c r="K15" s="114" t="str">
        <f>IF(J15="L","Baixa",IF(J15="A","Média",IF(J15="","","Alta")))</f>
        <v/>
      </c>
      <c r="L15" s="115" t="str">
        <f>IF(ISBLANK(D15),"",IF(D15="ALI",IF(J15="L",7,IF(J15="A",10,15)),IF(D15="AIE",IF(J15="L",5,IF(J15="A",7,10)),IF(D15="SE",IF(J15="L",4,IF(J15="A",5,7)),IF(OR(D15="EE",D15="CE"),IF(J15="L",3,IF(J15="A",4,6)))))))</f>
        <v/>
      </c>
      <c r="M15" s="84">
        <f>PRODUCT(L15,H15)</f>
        <v>0</v>
      </c>
      <c r="N15" s="85">
        <f>IF(LEN(Table3[[#This Row],[Tipo]])&gt;0, Table3[[#This Row],[PFA]]*Contagem!$Z$19, 0)</f>
        <v>0</v>
      </c>
      <c r="O15" s="85">
        <f>Table3[[#This Row],[Total]]*Contagem!$V$29</f>
        <v>0</v>
      </c>
      <c r="P15" s="85">
        <f>Table3[[#This Row],[Total]]*Contagem!$V$28</f>
        <v>0</v>
      </c>
      <c r="Q15" s="85">
        <f>Table3[[#This Row],[Total]]*Contagem!$V$30</f>
        <v>0</v>
      </c>
      <c r="R15" s="86"/>
      <c r="S15" s="87">
        <f>IF(AND(D15="SE",E15="E"),M15,0)</f>
        <v>0</v>
      </c>
      <c r="T15" s="87">
        <f>IF(AND(D15="CE",E15="E"),M15,0)</f>
        <v>0</v>
      </c>
      <c r="U15" s="87">
        <f>IF(AND(D15="EE",E15="E"),M15,0)</f>
        <v>0</v>
      </c>
      <c r="V15" s="87">
        <f>IF(AND(D15="AIE",E15="E"),M15,0)</f>
        <v>0</v>
      </c>
      <c r="W15" s="87">
        <f>IF(AND(D15="ALI",E15="E"),M15,0)</f>
        <v>0</v>
      </c>
      <c r="X15" s="87">
        <f>IF(AND(D15="SE",E15="A"),M15,0)</f>
        <v>0</v>
      </c>
      <c r="Y15" s="87">
        <f>IF(AND(D15="CE",E15="A"),M15,0)</f>
        <v>0</v>
      </c>
      <c r="Z15" s="87">
        <f>IF(AND(D15="EE",E15="A"),M15,0)</f>
        <v>0</v>
      </c>
      <c r="AA15" s="87">
        <f>IF(AND(D15="AIE",E15="A"),M15,0)</f>
        <v>0</v>
      </c>
      <c r="AB15" s="87">
        <f>IF(AND(D15="ALI",E15="A"),M15,0)</f>
        <v>0</v>
      </c>
      <c r="AC15" s="87">
        <f>IF(AND(D15="SE",E15="I"),M15,0)</f>
        <v>0</v>
      </c>
      <c r="AD15" s="87">
        <f>IF(AND(D15="CE",E15="I"),M15,0)</f>
        <v>0</v>
      </c>
      <c r="AE15" s="87">
        <f>IF(AND(D15="EE",E15="I"),M15,0)</f>
        <v>0</v>
      </c>
      <c r="AF15" s="87">
        <f>IF(AND(D15="AIE",E15="I"),M15,0)</f>
        <v>0</v>
      </c>
      <c r="AG15" s="88">
        <f>IF(AND(D15="ALI",E15="I"),M15,0)</f>
        <v>0</v>
      </c>
      <c r="AH15" s="103"/>
    </row>
    <row r="16" spans="2:49" s="62" customFormat="1" x14ac:dyDescent="0.15">
      <c r="B16" s="122"/>
      <c r="D16" s="117"/>
      <c r="E16" s="118"/>
      <c r="F16" s="119"/>
      <c r="G16" s="120"/>
      <c r="H16" s="112">
        <f>IF(E16=0,0,IF(E16="I",Contagem!$V$12,IF(E16="A",Contagem!$V$13,Contagem!$V$14)))</f>
        <v>0</v>
      </c>
      <c r="I16" s="113" t="str">
        <f>CONCATENATE(D16,J16)</f>
        <v/>
      </c>
      <c r="J16" s="113" t="str">
        <f>IF(OR(ISBLANK(F16),ISBLANK(G16)),IF(OR(D16="ALI",D16="AIE"),"L",IF(ISBLANK(D16),"","A")),IF(D16="EE",IF(G16&gt;=3,IF(F16&gt;=5,"H","A"),IF(G16&gt;=2,IF(F16&gt;=16,"H",IF(F16&lt;=4,"L","A")),IF(F16&lt;=15,"L","A"))),IF(OR(D16="SE",D16="CE"),IF(G16&gt;=4,IF(F16&gt;=6,"H","A"),IF(G16&gt;=2,IF(F16&gt;=20,"H",IF(F16&lt;=5,"L","A")),IF(F16&lt;=19,"L","A"))),IF(OR(D16="ALI",D16="AIE"),IF(G16&gt;=6,IF(F16&gt;=20,"H","A"),IF(G16&gt;=2,IF(F16&gt;=51,"H",IF(F16&lt;=19,"L","A")),IF(F16&lt;=50,"L","A")))))))</f>
        <v/>
      </c>
      <c r="K16" s="114" t="str">
        <f>IF(J16="L","Baixa",IF(J16="A","Média",IF(J16="","","Alta")))</f>
        <v/>
      </c>
      <c r="L16" s="115" t="str">
        <f>IF(ISBLANK(D16),"",IF(D16="ALI",IF(J16="L",7,IF(J16="A",10,15)),IF(D16="AIE",IF(J16="L",5,IF(J16="A",7,10)),IF(D16="SE",IF(J16="L",4,IF(J16="A",5,7)),IF(OR(D16="EE",D16="CE"),IF(J16="L",3,IF(J16="A",4,6)))))))</f>
        <v/>
      </c>
      <c r="M16" s="84">
        <f>PRODUCT(L16,H16)</f>
        <v>0</v>
      </c>
      <c r="N16" s="85">
        <f>IF(LEN(Table3[[#This Row],[Tipo]])&gt;0, Table3[[#This Row],[PFA]]*Contagem!$Z$19, 0)</f>
        <v>0</v>
      </c>
      <c r="O16" s="85">
        <f>Table3[[#This Row],[Total]]*Contagem!$V$29</f>
        <v>0</v>
      </c>
      <c r="P16" s="85">
        <f>Table3[[#This Row],[Total]]*Contagem!$V$28</f>
        <v>0</v>
      </c>
      <c r="Q16" s="85">
        <f>Table3[[#This Row],[Total]]*Contagem!$V$30</f>
        <v>0</v>
      </c>
      <c r="R16" s="86"/>
      <c r="S16" s="87">
        <f>IF(AND(D16="SE",E16="E"),M16,0)</f>
        <v>0</v>
      </c>
      <c r="T16" s="87">
        <f>IF(AND(D16="CE",E16="E"),M16,0)</f>
        <v>0</v>
      </c>
      <c r="U16" s="87">
        <f>IF(AND(D16="EE",E16="E"),M16,0)</f>
        <v>0</v>
      </c>
      <c r="V16" s="87">
        <f>IF(AND(D16="AIE",E16="E"),M16,0)</f>
        <v>0</v>
      </c>
      <c r="W16" s="87">
        <f>IF(AND(D16="ALI",E16="E"),M16,0)</f>
        <v>0</v>
      </c>
      <c r="X16" s="87">
        <f>IF(AND(D16="SE",E16="A"),M16,0)</f>
        <v>0</v>
      </c>
      <c r="Y16" s="87">
        <f>IF(AND(D16="CE",E16="A"),M16,0)</f>
        <v>0</v>
      </c>
      <c r="Z16" s="87">
        <f>IF(AND(D16="EE",E16="A"),M16,0)</f>
        <v>0</v>
      </c>
      <c r="AA16" s="87">
        <f>IF(AND(D16="AIE",E16="A"),M16,0)</f>
        <v>0</v>
      </c>
      <c r="AB16" s="87">
        <f>IF(AND(D16="ALI",E16="A"),M16,0)</f>
        <v>0</v>
      </c>
      <c r="AC16" s="87">
        <f>IF(AND(D16="SE",E16="I"),M16,0)</f>
        <v>0</v>
      </c>
      <c r="AD16" s="87">
        <f>IF(AND(D16="CE",E16="I"),M16,0)</f>
        <v>0</v>
      </c>
      <c r="AE16" s="87">
        <f>IF(AND(D16="EE",E16="I"),M16,0)</f>
        <v>0</v>
      </c>
      <c r="AF16" s="87">
        <f>IF(AND(D16="AIE",E16="I"),M16,0)</f>
        <v>0</v>
      </c>
      <c r="AG16" s="88">
        <f>IF(AND(D16="ALI",E16="I"),M16,0)</f>
        <v>0</v>
      </c>
      <c r="AH16" s="103"/>
    </row>
    <row r="17" spans="2:34" s="62" customFormat="1" x14ac:dyDescent="0.15">
      <c r="B17" s="121"/>
      <c r="C17" s="116"/>
      <c r="D17" s="117"/>
      <c r="E17" s="118"/>
      <c r="F17" s="119"/>
      <c r="G17" s="120"/>
      <c r="H17" s="112">
        <f>IF(E17=0,0,IF(E17="I",Contagem!$V$12,IF(E17="A",Contagem!$V$13,Contagem!$V$14)))</f>
        <v>0</v>
      </c>
      <c r="I17" s="113" t="str">
        <f t="shared" si="20"/>
        <v/>
      </c>
      <c r="J17" s="113" t="str">
        <f t="shared" si="21"/>
        <v/>
      </c>
      <c r="K17" s="114" t="str">
        <f t="shared" si="22"/>
        <v/>
      </c>
      <c r="L17" s="115" t="str">
        <f t="shared" si="23"/>
        <v/>
      </c>
      <c r="M17" s="84">
        <f t="shared" si="24"/>
        <v>0</v>
      </c>
      <c r="N17" s="85">
        <f>IF(LEN(Table3[[#This Row],[Tipo]])&gt;0, Table3[[#This Row],[PFA]]*Contagem!$Z$19, 0)</f>
        <v>0</v>
      </c>
      <c r="O17" s="85">
        <f>Table3[[#This Row],[Total]]*Contagem!$V$29</f>
        <v>0</v>
      </c>
      <c r="P17" s="85">
        <f>Table3[[#This Row],[Total]]*Contagem!$V$28</f>
        <v>0</v>
      </c>
      <c r="Q17" s="85">
        <f>Table3[[#This Row],[Total]]*Contagem!$V$30</f>
        <v>0</v>
      </c>
      <c r="R17" s="86"/>
      <c r="S17" s="87">
        <f t="shared" si="25"/>
        <v>0</v>
      </c>
      <c r="T17" s="87">
        <f t="shared" si="26"/>
        <v>0</v>
      </c>
      <c r="U17" s="87">
        <f t="shared" si="27"/>
        <v>0</v>
      </c>
      <c r="V17" s="87">
        <f t="shared" si="28"/>
        <v>0</v>
      </c>
      <c r="W17" s="87">
        <f t="shared" si="29"/>
        <v>0</v>
      </c>
      <c r="X17" s="87">
        <f t="shared" si="30"/>
        <v>0</v>
      </c>
      <c r="Y17" s="87">
        <f t="shared" si="31"/>
        <v>0</v>
      </c>
      <c r="Z17" s="87">
        <f t="shared" si="32"/>
        <v>0</v>
      </c>
      <c r="AA17" s="87">
        <f t="shared" si="33"/>
        <v>0</v>
      </c>
      <c r="AB17" s="87">
        <f t="shared" si="34"/>
        <v>0</v>
      </c>
      <c r="AC17" s="87">
        <f t="shared" si="35"/>
        <v>0</v>
      </c>
      <c r="AD17" s="87">
        <f t="shared" si="36"/>
        <v>0</v>
      </c>
      <c r="AE17" s="87">
        <f t="shared" si="37"/>
        <v>0</v>
      </c>
      <c r="AF17" s="87">
        <f t="shared" si="38"/>
        <v>0</v>
      </c>
      <c r="AG17" s="88">
        <f t="shared" si="39"/>
        <v>0</v>
      </c>
      <c r="AH17" s="103"/>
    </row>
    <row r="18" spans="2:34" s="62" customFormat="1" x14ac:dyDescent="0.15">
      <c r="B18" s="121"/>
      <c r="C18" s="116"/>
      <c r="D18" s="117"/>
      <c r="E18" s="118"/>
      <c r="F18" s="119"/>
      <c r="G18" s="120"/>
      <c r="H18" s="112">
        <f>IF(E18=0,0,IF(E18="I",Contagem!$V$12,IF(E18="A",Contagem!$V$13,Contagem!$V$14)))</f>
        <v>0</v>
      </c>
      <c r="I18" s="113" t="str">
        <f>CONCATENATE(D18,J18)</f>
        <v/>
      </c>
      <c r="J18" s="113" t="str">
        <f>IF(OR(ISBLANK(F18),ISBLANK(G18)),IF(OR(D18="ALI",D18="AIE"),"L",IF(ISBLANK(D18),"","A")),IF(D18="EE",IF(G18&gt;=3,IF(F18&gt;=5,"H","A"),IF(G18&gt;=2,IF(F18&gt;=16,"H",IF(F18&lt;=4,"L","A")),IF(F18&lt;=15,"L","A"))),IF(OR(D18="SE",D18="CE"),IF(G18&gt;=4,IF(F18&gt;=6,"H","A"),IF(G18&gt;=2,IF(F18&gt;=20,"H",IF(F18&lt;=5,"L","A")),IF(F18&lt;=19,"L","A"))),IF(OR(D18="ALI",D18="AIE"),IF(G18&gt;=6,IF(F18&gt;=20,"H","A"),IF(G18&gt;=2,IF(F18&gt;=51,"H",IF(F18&lt;=19,"L","A")),IF(F18&lt;=50,"L","A")))))))</f>
        <v/>
      </c>
      <c r="K18" s="114" t="str">
        <f>IF(J18="L","Baixa",IF(J18="A","Média",IF(J18="","","Alta")))</f>
        <v/>
      </c>
      <c r="L18" s="115" t="str">
        <f>IF(ISBLANK(D18),"",IF(D18="ALI",IF(J18="L",7,IF(J18="A",10,15)),IF(D18="AIE",IF(J18="L",5,IF(J18="A",7,10)),IF(D18="SE",IF(J18="L",4,IF(J18="A",5,7)),IF(OR(D18="EE",D18="CE"),IF(J18="L",3,IF(J18="A",4,6)))))))</f>
        <v/>
      </c>
      <c r="M18" s="84">
        <f>PRODUCT(L18,H18)</f>
        <v>0</v>
      </c>
      <c r="N18" s="85">
        <f>IF(LEN(Table3[[#This Row],[Tipo]])&gt;0, Table3[[#This Row],[PFA]]*Contagem!$Z$19, 0)</f>
        <v>0</v>
      </c>
      <c r="O18" s="85">
        <f>Table3[[#This Row],[Total]]*Contagem!$V$29</f>
        <v>0</v>
      </c>
      <c r="P18" s="85">
        <f>Table3[[#This Row],[Total]]*Contagem!$V$28</f>
        <v>0</v>
      </c>
      <c r="Q18" s="85">
        <f>Table3[[#This Row],[Total]]*Contagem!$V$30</f>
        <v>0</v>
      </c>
      <c r="R18" s="86"/>
      <c r="S18" s="87">
        <f>IF(AND(D18="SE",E18="E"),M18,0)</f>
        <v>0</v>
      </c>
      <c r="T18" s="87">
        <f>IF(AND(D18="CE",E18="E"),M18,0)</f>
        <v>0</v>
      </c>
      <c r="U18" s="87">
        <f>IF(AND(D18="EE",E18="E"),M18,0)</f>
        <v>0</v>
      </c>
      <c r="V18" s="87">
        <f>IF(AND(D18="AIE",E18="E"),M18,0)</f>
        <v>0</v>
      </c>
      <c r="W18" s="87">
        <f>IF(AND(D18="ALI",E18="E"),M18,0)</f>
        <v>0</v>
      </c>
      <c r="X18" s="87">
        <f>IF(AND(D18="SE",E18="A"),M18,0)</f>
        <v>0</v>
      </c>
      <c r="Y18" s="87">
        <f>IF(AND(D18="CE",E18="A"),M18,0)</f>
        <v>0</v>
      </c>
      <c r="Z18" s="87">
        <f>IF(AND(D18="EE",E18="A"),M18,0)</f>
        <v>0</v>
      </c>
      <c r="AA18" s="87">
        <f>IF(AND(D18="AIE",E18="A"),M18,0)</f>
        <v>0</v>
      </c>
      <c r="AB18" s="87">
        <f>IF(AND(D18="ALI",E18="A"),M18,0)</f>
        <v>0</v>
      </c>
      <c r="AC18" s="87">
        <f>IF(AND(D18="SE",E18="I"),M18,0)</f>
        <v>0</v>
      </c>
      <c r="AD18" s="87">
        <f>IF(AND(D18="CE",E18="I"),M18,0)</f>
        <v>0</v>
      </c>
      <c r="AE18" s="87">
        <f>IF(AND(D18="EE",E18="I"),M18,0)</f>
        <v>0</v>
      </c>
      <c r="AF18" s="87">
        <f>IF(AND(D18="AIE",E18="I"),M18,0)</f>
        <v>0</v>
      </c>
      <c r="AG18" s="88">
        <f>IF(AND(D18="ALI",E18="I"),M18,0)</f>
        <v>0</v>
      </c>
      <c r="AH18" s="103"/>
    </row>
    <row r="19" spans="2:34" s="62" customFormat="1" x14ac:dyDescent="0.15">
      <c r="B19" s="121"/>
      <c r="C19" s="116"/>
      <c r="D19" s="117"/>
      <c r="E19" s="118"/>
      <c r="F19" s="119"/>
      <c r="G19" s="120"/>
      <c r="H19" s="112">
        <f>IF(E19=0,0,IF(E19="I",Contagem!$V$12,IF(E19="A",Contagem!$V$13,Contagem!$V$14)))</f>
        <v>0</v>
      </c>
      <c r="I19" s="113" t="str">
        <f>CONCATENATE(D19,J19)</f>
        <v/>
      </c>
      <c r="J19" s="113" t="str">
        <f>IF(OR(ISBLANK(F19),ISBLANK(G19)),IF(OR(D19="ALI",D19="AIE"),"L",IF(ISBLANK(D19),"","A")),IF(D19="EE",IF(G19&gt;=3,IF(F19&gt;=5,"H","A"),IF(G19&gt;=2,IF(F19&gt;=16,"H",IF(F19&lt;=4,"L","A")),IF(F19&lt;=15,"L","A"))),IF(OR(D19="SE",D19="CE"),IF(G19&gt;=4,IF(F19&gt;=6,"H","A"),IF(G19&gt;=2,IF(F19&gt;=20,"H",IF(F19&lt;=5,"L","A")),IF(F19&lt;=19,"L","A"))),IF(OR(D19="ALI",D19="AIE"),IF(G19&gt;=6,IF(F19&gt;=20,"H","A"),IF(G19&gt;=2,IF(F19&gt;=51,"H",IF(F19&lt;=19,"L","A")),IF(F19&lt;=50,"L","A")))))))</f>
        <v/>
      </c>
      <c r="K19" s="114" t="str">
        <f>IF(J19="L","Baixa",IF(J19="A","Média",IF(J19="","","Alta")))</f>
        <v/>
      </c>
      <c r="L19" s="115" t="str">
        <f>IF(ISBLANK(D19),"",IF(D19="ALI",IF(J19="L",7,IF(J19="A",10,15)),IF(D19="AIE",IF(J19="L",5,IF(J19="A",7,10)),IF(D19="SE",IF(J19="L",4,IF(J19="A",5,7)),IF(OR(D19="EE",D19="CE"),IF(J19="L",3,IF(J19="A",4,6)))))))</f>
        <v/>
      </c>
      <c r="M19" s="84">
        <f>PRODUCT(L19,H19)</f>
        <v>0</v>
      </c>
      <c r="N19" s="85">
        <f>IF(LEN(Table3[[#This Row],[Tipo]])&gt;0, Table3[[#This Row],[PFA]]*Contagem!$Z$19, 0)</f>
        <v>0</v>
      </c>
      <c r="O19" s="85">
        <f>Table3[[#This Row],[Total]]*Contagem!$V$29</f>
        <v>0</v>
      </c>
      <c r="P19" s="85">
        <f>Table3[[#This Row],[Total]]*Contagem!$V$28</f>
        <v>0</v>
      </c>
      <c r="Q19" s="85">
        <f>Table3[[#This Row],[Total]]*Contagem!$V$30</f>
        <v>0</v>
      </c>
      <c r="R19" s="86"/>
      <c r="S19" s="87">
        <f>IF(AND(D19="SE",E19="E"),M19,0)</f>
        <v>0</v>
      </c>
      <c r="T19" s="87">
        <f>IF(AND(D19="CE",E19="E"),M19,0)</f>
        <v>0</v>
      </c>
      <c r="U19" s="87">
        <f>IF(AND(D19="EE",E19="E"),M19,0)</f>
        <v>0</v>
      </c>
      <c r="V19" s="87">
        <f>IF(AND(D19="AIE",E19="E"),M19,0)</f>
        <v>0</v>
      </c>
      <c r="W19" s="87">
        <f>IF(AND(D19="ALI",E19="E"),M19,0)</f>
        <v>0</v>
      </c>
      <c r="X19" s="87">
        <f>IF(AND(D19="SE",E19="A"),M19,0)</f>
        <v>0</v>
      </c>
      <c r="Y19" s="87">
        <f>IF(AND(D19="CE",E19="A"),M19,0)</f>
        <v>0</v>
      </c>
      <c r="Z19" s="87">
        <f>IF(AND(D19="EE",E19="A"),M19,0)</f>
        <v>0</v>
      </c>
      <c r="AA19" s="87">
        <f>IF(AND(D19="AIE",E19="A"),M19,0)</f>
        <v>0</v>
      </c>
      <c r="AB19" s="87">
        <f>IF(AND(D19="ALI",E19="A"),M19,0)</f>
        <v>0</v>
      </c>
      <c r="AC19" s="87">
        <f>IF(AND(D19="SE",E19="I"),M19,0)</f>
        <v>0</v>
      </c>
      <c r="AD19" s="87">
        <f>IF(AND(D19="CE",E19="I"),M19,0)</f>
        <v>0</v>
      </c>
      <c r="AE19" s="87">
        <f>IF(AND(D19="EE",E19="I"),M19,0)</f>
        <v>0</v>
      </c>
      <c r="AF19" s="87">
        <f>IF(AND(D19="AIE",E19="I"),M19,0)</f>
        <v>0</v>
      </c>
      <c r="AG19" s="88">
        <f>IF(AND(D19="ALI",E19="I"),M19,0)</f>
        <v>0</v>
      </c>
      <c r="AH19" s="103"/>
    </row>
    <row r="20" spans="2:34" s="62" customFormat="1" x14ac:dyDescent="0.15">
      <c r="B20" s="104"/>
      <c r="D20" s="105"/>
      <c r="E20" s="106"/>
      <c r="F20" s="107"/>
      <c r="G20" s="108"/>
      <c r="H20" s="62">
        <f>IF(E20=0,0,IF(E20="I",Contagem!$V$12,IF(E20="A",Contagem!$V$13,Contagem!$V$14)))</f>
        <v>0</v>
      </c>
      <c r="I20" s="62" t="str">
        <f t="shared" ref="I20" si="40">CONCATENATE(D20,J20)</f>
        <v/>
      </c>
      <c r="J20" s="62" t="str">
        <f t="shared" ref="J20" si="41">IF(OR(ISBLANK(F20),ISBLANK(G20)),IF(OR(D20="ALI",D20="AIE"),"L",IF(ISBLANK(D20),"","A")),IF(D20="EE",IF(G20&gt;=3,IF(F20&gt;=5,"H","A"),IF(G20&gt;=2,IF(F20&gt;=16,"H",IF(F20&lt;=4,"L","A")),IF(F20&lt;=15,"L","A"))),IF(OR(D20="SE",D20="CE"),IF(G20&gt;=4,IF(F20&gt;=6,"H","A"),IF(G20&gt;=2,IF(F20&gt;=20,"H",IF(F20&lt;=5,"L","A")),IF(F20&lt;=19,"L","A"))),IF(OR(D20="ALI",D20="AIE"),IF(G20&gt;=6,IF(F20&gt;=20,"H","A"),IF(G20&gt;=2,IF(F20&gt;=51,"H",IF(F20&lt;=19,"L","A")),IF(F20&lt;=50,"L","A")))))))</f>
        <v/>
      </c>
      <c r="K20" s="109" t="str">
        <f t="shared" ref="K20" si="42">IF(J20="L","Baixa",IF(J20="A","Média",IF(J20="","","Alta")))</f>
        <v/>
      </c>
      <c r="L20" s="109" t="str">
        <f t="shared" ref="L20" si="43">IF(ISBLANK(D20),"",IF(D20="ALI",IF(J20="L",7,IF(J20="A",10,15)),IF(D20="AIE",IF(J20="L",5,IF(J20="A",7,10)),IF(D20="SE",IF(J20="L",4,IF(J20="A",5,7)),IF(OR(D20="EE",D20="CE"),IF(J20="L",3,IF(J20="A",4,6)))))))</f>
        <v/>
      </c>
      <c r="M20" s="110">
        <f t="shared" ref="M20" si="44">PRODUCT(L20,H20)</f>
        <v>0</v>
      </c>
      <c r="N20" s="111">
        <f>IF(LEN(Table3[[#This Row],[Tipo]])&gt;0, Table3[[#This Row],[PFA]]*Contagem!$Z$19, 0)</f>
        <v>0</v>
      </c>
      <c r="O20" s="111">
        <f>Table3[[#This Row],[Total]]*Contagem!$V$29</f>
        <v>0</v>
      </c>
      <c r="P20" s="111">
        <f>Table3[[#This Row],[Total]]*Contagem!$V$28</f>
        <v>0</v>
      </c>
      <c r="Q20" s="111">
        <f>Table3[[#This Row],[Total]]*Contagem!$V$30</f>
        <v>0</v>
      </c>
      <c r="S20" s="62">
        <f t="shared" ref="S20" si="45">IF(AND(D20="SE",E20="E"),M20,0)</f>
        <v>0</v>
      </c>
      <c r="T20" s="62">
        <f t="shared" ref="T20" si="46">IF(AND(D20="CE",E20="E"),M20,0)</f>
        <v>0</v>
      </c>
      <c r="U20" s="62">
        <f t="shared" ref="U20" si="47">IF(AND(D20="EE",E20="E"),M20,0)</f>
        <v>0</v>
      </c>
      <c r="V20" s="62">
        <f t="shared" ref="V20" si="48">IF(AND(D20="AIE",E20="E"),M20,0)</f>
        <v>0</v>
      </c>
      <c r="W20" s="62">
        <f t="shared" ref="W20" si="49">IF(AND(D20="ALI",E20="E"),M20,0)</f>
        <v>0</v>
      </c>
      <c r="X20" s="62">
        <f t="shared" ref="X20" si="50">IF(AND(D20="SE",E20="A"),M20,0)</f>
        <v>0</v>
      </c>
      <c r="Y20" s="62">
        <f t="shared" ref="Y20" si="51">IF(AND(D20="CE",E20="A"),M20,0)</f>
        <v>0</v>
      </c>
      <c r="Z20" s="62">
        <f t="shared" ref="Z20" si="52">IF(AND(D20="EE",E20="A"),M20,0)</f>
        <v>0</v>
      </c>
      <c r="AA20" s="62">
        <f t="shared" ref="AA20" si="53">IF(AND(D20="AIE",E20="A"),M20,0)</f>
        <v>0</v>
      </c>
      <c r="AB20" s="62">
        <f t="shared" ref="AB20" si="54">IF(AND(D20="ALI",E20="A"),M20,0)</f>
        <v>0</v>
      </c>
      <c r="AC20" s="62">
        <f t="shared" ref="AC20" si="55">IF(AND(D20="SE",E20="I"),M20,0)</f>
        <v>0</v>
      </c>
      <c r="AD20" s="62">
        <f t="shared" ref="AD20" si="56">IF(AND(D20="CE",E20="I"),M20,0)</f>
        <v>0</v>
      </c>
      <c r="AE20" s="62">
        <f t="shared" ref="AE20" si="57">IF(AND(D20="EE",E20="I"),M20,0)</f>
        <v>0</v>
      </c>
      <c r="AF20" s="62">
        <f t="shared" ref="AF20" si="58">IF(AND(D20="AIE",E20="I"),M20,0)</f>
        <v>0</v>
      </c>
      <c r="AG20" s="62">
        <f t="shared" ref="AG20" si="59">IF(AND(D20="ALI",E20="I"),M20,0)</f>
        <v>0</v>
      </c>
    </row>
    <row r="21" spans="2:34" s="62" customFormat="1" x14ac:dyDescent="0.15">
      <c r="B21" s="90" t="s">
        <v>28</v>
      </c>
      <c r="C21" s="91"/>
      <c r="D21" s="92"/>
      <c r="E21" s="92"/>
      <c r="F21" s="92"/>
      <c r="G21" s="93"/>
      <c r="H21" s="94"/>
      <c r="I21" s="95"/>
      <c r="J21" s="95"/>
      <c r="K21" s="94"/>
      <c r="L21" s="96">
        <f>SUBTOTAL(109,Table3[PF])</f>
        <v>0</v>
      </c>
      <c r="M21" s="97">
        <f>SUBTOTAL(109,Table3[PFA])</f>
        <v>0</v>
      </c>
      <c r="N21" s="98">
        <f>SUBTOTAL(109,Table3[Total])</f>
        <v>0</v>
      </c>
      <c r="O21" s="98">
        <f>SUBTOTAL(109,Table3[Desenv.])</f>
        <v>0</v>
      </c>
      <c r="P21" s="98">
        <f>SUBTOTAL(109,Table3[An. Teste])</f>
        <v>0</v>
      </c>
      <c r="Q21" s="98">
        <f>SUBTOTAL(109,Table3[Teste])</f>
        <v>0</v>
      </c>
      <c r="R21" s="99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1"/>
      <c r="AH21" s="102"/>
    </row>
    <row r="22" spans="2:34" s="62" customFormat="1" ht="12" customHeight="1" x14ac:dyDescent="0.15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 spans="2:34" s="62" customFormat="1" x14ac:dyDescent="0.1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2:34" s="62" customFormat="1" x14ac:dyDescent="0.15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2:34" s="62" customFormat="1" x14ac:dyDescent="0.1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</row>
    <row r="26" spans="2:34" s="62" customFormat="1" x14ac:dyDescent="0.15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spans="2:34" s="62" customFormat="1" x14ac:dyDescent="0.1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2:34" s="62" customFormat="1" x14ac:dyDescent="0.1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2:34" s="62" customFormat="1" ht="12" customHeight="1" x14ac:dyDescent="0.1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</row>
    <row r="30" spans="2:34" s="62" customFormat="1" x14ac:dyDescent="0.1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</row>
    <row r="31" spans="2:34" s="62" customFormat="1" x14ac:dyDescent="0.1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</row>
    <row r="32" spans="2:34" s="62" customFormat="1" x14ac:dyDescent="0.1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 spans="2:34" s="62" customFormat="1" x14ac:dyDescent="0.1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</row>
    <row r="34" spans="2:34" s="62" customFormat="1" x14ac:dyDescent="0.1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 spans="2:34" s="62" customFormat="1" x14ac:dyDescent="0.1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</row>
    <row r="36" spans="2:34" s="62" customFormat="1" ht="12" customHeight="1" x14ac:dyDescent="0.1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</row>
    <row r="37" spans="2:34" s="62" customFormat="1" x14ac:dyDescent="0.1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 spans="2:34" s="62" customFormat="1" x14ac:dyDescent="0.1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spans="2:34" s="62" customFormat="1" x14ac:dyDescent="0.1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</row>
    <row r="40" spans="2:34" s="62" customFormat="1" x14ac:dyDescent="0.1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</row>
    <row r="41" spans="2:34" s="62" customFormat="1" x14ac:dyDescent="0.15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spans="2:34" s="62" customFormat="1" x14ac:dyDescent="0.15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 spans="2:34" s="62" customFormat="1" x14ac:dyDescent="0.15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2:34" s="62" customFormat="1" ht="12" customHeight="1" x14ac:dyDescent="0.15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</sheetData>
  <mergeCells count="16">
    <mergeCell ref="B9:L9"/>
    <mergeCell ref="N9:Q9"/>
    <mergeCell ref="M6:N6"/>
    <mergeCell ref="M7:N7"/>
    <mergeCell ref="K5:N5"/>
    <mergeCell ref="D2:AH3"/>
    <mergeCell ref="B5:C5"/>
    <mergeCell ref="B6:C6"/>
    <mergeCell ref="B7:C7"/>
    <mergeCell ref="K6:L6"/>
    <mergeCell ref="K7:L7"/>
    <mergeCell ref="D6:E6"/>
    <mergeCell ref="F6:G6"/>
    <mergeCell ref="D5:G5"/>
    <mergeCell ref="D7:E7"/>
    <mergeCell ref="F7:G7"/>
  </mergeCells>
  <conditionalFormatting sqref="E11:E20">
    <cfRule type="cellIs" dxfId="35" priority="1" stopIfTrue="1" operator="equal">
      <formula>"I"</formula>
    </cfRule>
    <cfRule type="cellIs" dxfId="34" priority="2" stopIfTrue="1" operator="equal">
      <formula>"A"</formula>
    </cfRule>
    <cfRule type="cellIs" dxfId="33" priority="3" stopIfTrue="1" operator="equal">
      <formula>"E"</formula>
    </cfRule>
  </conditionalFormatting>
  <dataValidations xWindow="688" yWindow="665" count="2">
    <dataValidation type="list" errorStyle="warning" operator="equal" allowBlank="1" showInputMessage="1" showErrorMessage="1" promptTitle="Tipo da Função" prompt="ALI, AIE, EE, SE, CE" sqref="D13:D20" xr:uid="{00000000-0002-0000-0100-000001000000}">
      <formula1>"ALI,AIE,EE,CE,SE"</formula1>
    </dataValidation>
    <dataValidation type="list" allowBlank="1" showInputMessage="1" showErrorMessage="1" promptTitle="Tipo da Manutenção na Função" prompt="I - Inclusão  _x000a_A - Alteração  _x000a_E - Exclusão  " sqref="E11:E20" xr:uid="{00000000-0002-0000-0100-000000000000}">
      <formula1>"I,A,E"</formula1>
    </dataValidation>
  </dataValidations>
  <printOptions headings="1"/>
  <pageMargins left="0.39374999999999999" right="0.31527777777777777" top="0.2361111111111111" bottom="0.39374999999999999" header="0.51180555555555551" footer="0.2361111111111111"/>
  <pageSetup paperSize="9" scale="73" firstPageNumber="0" orientation="landscape" horizontalDpi="300" verticalDpi="300" r:id="rId1"/>
  <headerFooter alignWithMargins="0">
    <oddFooter>&amp;L&amp;P/&amp;N&amp;C&amp;D&amp;R  &amp;F - &amp;A         .</oddFooter>
  </headerFooter>
  <ignoredErrors>
    <ignoredError sqref="B6" formula="1"/>
  </ignoredErrors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F2"/>
  <sheetViews>
    <sheetView workbookViewId="0"/>
  </sheetViews>
  <sheetFormatPr defaultRowHeight="12.75" x14ac:dyDescent="0.2"/>
  <cols>
    <col min="1" max="6" width="200.7109375" customWidth="1"/>
  </cols>
  <sheetData>
    <row r="1" spans="1:6" x14ac:dyDescent="0.2">
      <c r="A1" s="6" t="s">
        <v>121</v>
      </c>
      <c r="B1" s="7" t="s">
        <v>121</v>
      </c>
      <c r="C1" s="8" t="s">
        <v>121</v>
      </c>
      <c r="D1" t="s">
        <v>121</v>
      </c>
      <c r="E1" s="123" t="s">
        <v>121</v>
      </c>
      <c r="F1" s="89" t="s">
        <v>121</v>
      </c>
    </row>
    <row r="2" spans="1:6" x14ac:dyDescent="0.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.140625" defaultRowHeight="12.75" x14ac:dyDescent="0.2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0154b7-733a-4764-96b4-8c6a4e340db3" xsi:nil="true"/>
    <lcf76f155ced4ddcb4097134ff3c332f xmlns="f43fe663-a93f-4d03-ab2e-9230888d21cd">
      <Terms xmlns="http://schemas.microsoft.com/office/infopath/2007/PartnerControls"/>
    </lcf76f155ced4ddcb4097134ff3c332f>
    <Data xmlns="f43fe663-a93f-4d03-ab2e-9230888d21cd" xsi:nil="true"/>
    <Cliente xmlns="f43fe663-a93f-4d03-ab2e-9230888d21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63424EB9A5D4AA2854CD3412F0233" ma:contentTypeVersion="19" ma:contentTypeDescription="Create a new document." ma:contentTypeScope="" ma:versionID="e882e26e99b6be95f858902a9b9b761d">
  <xsd:schema xmlns:xsd="http://www.w3.org/2001/XMLSchema" xmlns:xs="http://www.w3.org/2001/XMLSchema" xmlns:p="http://schemas.microsoft.com/office/2006/metadata/properties" xmlns:ns2="f43fe663-a93f-4d03-ab2e-9230888d21cd" xmlns:ns3="b20154b7-733a-4764-96b4-8c6a4e340db3" targetNamespace="http://schemas.microsoft.com/office/2006/metadata/properties" ma:root="true" ma:fieldsID="f5ac59d67e0f9513a4a20c0fddd6056c" ns2:_="" ns3:_="">
    <xsd:import namespace="f43fe663-a93f-4d03-ab2e-9230888d21cd"/>
    <xsd:import namespace="b20154b7-733a-4764-96b4-8c6a4e340d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Cliente" minOccurs="0"/>
                <xsd:element ref="ns2: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3fe663-a93f-4d03-ab2e-9230888d21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3f4f598-cb6b-4b09-af14-3e5aa77cae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liente" ma:index="22" nillable="true" ma:displayName="Cliente" ma:format="Dropdown" ma:internalName="Cliente">
      <xsd:simpleType>
        <xsd:restriction base="dms:Text">
          <xsd:maxLength value="255"/>
        </xsd:restriction>
      </xsd:simpleType>
    </xsd:element>
    <xsd:element name="Data" ma:index="23" nillable="true" ma:displayName="Data" ma:format="DateTime" ma:internalName="Data">
      <xsd:simpleType>
        <xsd:restriction base="dms:DateTim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0154b7-733a-4764-96b4-8c6a4e340db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1109589-79e1-425b-b432-a2593782943d}" ma:internalName="TaxCatchAll" ma:showField="CatchAllData" ma:web="b20154b7-733a-4764-96b4-8c6a4e340d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10EEDC-470A-40BD-8FFC-236EBA451ABC}">
  <ds:schemaRefs>
    <ds:schemaRef ds:uri="http://schemas.microsoft.com/office/2006/metadata/properties"/>
    <ds:schemaRef ds:uri="http://schemas.microsoft.com/office/infopath/2007/PartnerControls"/>
    <ds:schemaRef ds:uri="b20154b7-733a-4764-96b4-8c6a4e340db3"/>
    <ds:schemaRef ds:uri="f43fe663-a93f-4d03-ab2e-9230888d21cd"/>
  </ds:schemaRefs>
</ds:datastoreItem>
</file>

<file path=customXml/itemProps2.xml><?xml version="1.0" encoding="utf-8"?>
<ds:datastoreItem xmlns:ds="http://schemas.openxmlformats.org/officeDocument/2006/customXml" ds:itemID="{5E4E9BC6-D451-404D-BBF3-180DFC2E12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A43877-5F39-4F3C-B8D2-0EB6FF65B1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3fe663-a93f-4d03-ab2e-9230888d21cd"/>
    <ds:schemaRef ds:uri="b20154b7-733a-4764-96b4-8c6a4e340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9</vt:i4>
      </vt:variant>
    </vt:vector>
  </HeadingPairs>
  <TitlesOfParts>
    <vt:vector size="12" baseType="lpstr">
      <vt:lpstr>Contagem</vt:lpstr>
      <vt:lpstr>Funções</vt:lpstr>
      <vt:lpstr>TFS</vt:lpstr>
      <vt:lpstr>Funções!Area_de_impressao</vt:lpstr>
      <vt:lpstr>CF</vt:lpstr>
      <vt:lpstr>Data</vt:lpstr>
      <vt:lpstr>Projeto</vt:lpstr>
      <vt:lpstr>Responsável</vt:lpstr>
      <vt:lpstr>Revisão</vt:lpstr>
      <vt:lpstr>Revisor</vt:lpstr>
      <vt:lpstr>Funções!Titulos_de_impressao</vt:lpstr>
      <vt:lpstr>UFPB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Cliente - Projeto - Escopo - APF 2.00</dc:title>
  <dc:subject/>
  <dc:creator>Aldir Koch</dc:creator>
  <cp:keywords/>
  <dc:description/>
  <cp:lastModifiedBy>Antonio Felipe Franklin de Sousa</cp:lastModifiedBy>
  <cp:revision/>
  <dcterms:created xsi:type="dcterms:W3CDTF">2014-06-09T18:11:28Z</dcterms:created>
  <dcterms:modified xsi:type="dcterms:W3CDTF">2026-05-19T12:09:49Z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0x010100A2E63424EB9A5D4AA2854CD3412F0233</vt:lpwstr>
  </property>
  <property fmtid="{D5CDD505-2E9C-101B-9397-08002B2CF9AE}" pid="3" name="_dlc_DocIdItemGuid">
    <vt:lpwstr>b1cf3626-d5ce-49c3-b4d7-94f00b9e736e</vt:lpwstr>
  </property>
  <property fmtid="{D5CDD505-2E9C-101B-9397-08002B2CF9AE}" pid="4" name="VS Team System Additional Data DO NOT EDIT0">
    <vt:lpwstr>RVpSRwEAAABVj8FqwzAMhl8l5J44TVZIQ5JSKIPC6MVd76ojr4bYDpYSuref266MHXSQ+Ph+/e32ZsdkwUDGuy5d5UW67Vsp/5+SCDnq0jm4htQVLVBmjQqevOZMedsshmYYiefB+IYRLH0To2281kYhsQ/whWnfHpOoPIJFmkDhbhgMxxQY98Agf6lXWsTPd/ykaTdNo1FwZw+OGJzCwz5NuEtl2pcAWJYDZlVdQfaGm3VWY73JVA26gtW60pe</vt:lpwstr>
  </property>
  <property fmtid="{D5CDD505-2E9C-101B-9397-08002B2CF9AE}" pid="5" name="VS Team System Additional Data DO NOT EDIT1">
    <vt:lpwstr>yFec/20vxGcaX48o8NUIsxJRPDHnslF9CUxd1IViTOMVK7352w+MHsRuscYY4PNelygvx4Z8PSgxL7JwD2dsjVhzjSNn/AA==</vt:lpwstr>
  </property>
  <property fmtid="{D5CDD505-2E9C-101B-9397-08002B2CF9AE}" pid="6" name="VS Team System Additional Data DO NOT EDIT">
    <vt:i4>2</vt:i4>
  </property>
  <property fmtid="{D5CDD505-2E9C-101B-9397-08002B2CF9AE}" pid="7" name="VS Team System Data DO NOT EDIT0">
    <vt:lpwstr>RVpSRwEAAAC1Xdty2zgS/RWUH/ZNNknds5lM2Y5TUa2deCwl80xTkMyNRGp5ceL5+gXAG0CCINlKP0xqSkkf8QhAo+98/+ev44G80ij2w+CPC/vSuvjzw/v1Wv2IsH8UxH9cpFHwLvZe6NGNR0ffi8I43CUjLzy+e/Xj1D3ESbr1w3cJdY/xW5zQ47twt/M9Gidh5O7pxYf33wmDPEXhf6mXfHGP9IIkf1ysyy+4+LDZxXe/EhrwL4/fX31XRb5</vt:lpwstr>
  </property>
  <property fmtid="{D5CDD505-2E9C-101B-9397-08002B2CF9AE}" pid="8" name="VS Team System Data DO NOT EDIT1">
    <vt:lpwstr>FfkPiNU528burq6vbgxvHPvs+N2HCVxv2FI+Z2NXEW+wmO28yotbSG01szx0ttuPliO4sa+650/nUHYsv+8K/7ODHSVx9A7nKP+cPHJ9cj350E3edc6oeJHvSoPhH36JD/qwfXpLkxJ6QPWl8eUrcS/aLXT5H7xbWwrpiD38Vv7gR3cY0euU/VsW6xJJ+KjDYKogTN/Do6mOB5E4mtm0tZqOdMx+PJtZ2OlqOn+3R3PV2Y+f5eed4tPpVdj49bN</vt:lpwstr>
  </property>
  <property fmtid="{D5CDD505-2E9C-101B-9397-08002B2CF9AE}" pid="9" name="VS Team System Data DO NOT EDIT2">
    <vt:lpwstr>flSorPRpOCth/fbf3EfT5kz3nDVjJKafXtfrza0iDxk7fi7z+x/SL/g634ixVDHE2qjyO6k8mvxba6vH1xgz3dsnWQEMQDbt5OtAQaqz9lAZJLk1L86kvBx27nU3/eIYTsLkLXafISRv4/dHsdmxjZekaVOMnlS0oLFEaLLkJP9NXEw9HzKKTKp1/C91ft76tnX/bcXTdvgJUo9lYuXBFxUNZh6XSRuQndaHvvBsaD0kJGyJJSuCRjOCXwU995R</vt:lpwstr>
  </property>
  <property fmtid="{D5CDD505-2E9C-101B-9397-08002B2CF9AE}" pid="10" name="VS Team System Data DO NOT EDIT3">
    <vt:lpwstr>jZ+coCwqORKAmOUxRj3P+VAzSWd86bycgxbDL4sTucOe6JuHAaAhZEEq5VBITHuJHEbUfaDgm+UTFqzKFMUPtNOPh9p7EX+iVtCJj5zPZ+6dElnjnJw5l1s/ma/a3R0ox+AO0WVrXQYs/xmKHqMA7cSeijM5svv68368vbhYcUO0P9Sn9ls1wkzfLeULkBnKcMgBQhZ1EwblI046tyI1+xorLaAdeOCZPWxdpxQDM5pp8H52ec+jNEgWOppyJKV</vt:lpwstr>
  </property>
  <property fmtid="{D5CDD505-2E9C-101B-9397-08002B2CF9AE}" pid="11" name="VS Team System Data DO NOT EDIT4">
    <vt:lpwstr>ljNcQGC7Ztx5/+RqCmbY5Cqubtjw7X6GlWY+R+2mmu4cfRUKyz0UR2AMoFlgVOdo3OC7QDlKAvgsvrPfwndW0xs4ttKoc7OClEZdX7Af1cHanU6f3bkKErqPRETicv0WeOukw8JoWScu+xKFgf+PwCIVjsTVtnEscw7cyvXRjdytvz+6lxsaJ5ffYhoZXdgWk+NbnLqRH8ZNThYWJ6svp0ca7XwIKUlQOlA4ruCo28j9zB45uveDH7dhGiSA4yU</vt:lpwstr>
  </property>
  <property fmtid="{D5CDD505-2E9C-101B-9397-08002B2CF9AE}" pid="12" name="VS Team System Data DO NOT EDIT5">
    <vt:lpwstr>ADgyAVAiKZjzjXjNrxnZ10UczzgEnrqkZ5829iaRbGHDfvZnBbt0t/S5isIBdWkEQCUNZVyS9woDPWtfpb1nXaZMvks5hwGfxnfwWvpMmX4Nfdx7fdtdOx/faS9Lz7LcMwWi9YXl9i2Fen8rV+Q1cnSbXKRbX6Rlc7d/A1W5yRXENBfBZZxbizTfPbN2bty2UpeW4nYZ5QjOD9tFNXkzkFnpypTwpAZR1xLLXF8O8SXXPQm6a+p7V3DOG7Mx5XN</vt:lpwstr>
  </property>
  <property fmtid="{D5CDD505-2E9C-101B-9397-08002B2CF9AE}" pid="13" name="VS Team System Data DO NOT EDIT6">
    <vt:lpwstr>sTNN1cIbdMnWvtjhlNkIzeSafRK+WBAby4NJHFq3C74QCewcjpPH9/h9EPdoaO/PEBjLg44fKkBKjCuzic5p2cnuiBR5fO8U1yCHLf7p6cE3YzHjdD6K1mrn86hD8BJnopptDBikMZPMm6ZxzGyW0YsC/vSDRM9by4/MgrABrOvzXGcjzGvQMajxE9i2FEjQSxPI1x7+jGE43TA0Q3SoIKJSxnYtzuTNTXrMMyaSGktUfGWP7CuN1fqPv4wS6Mj</vt:lpwstr>
  </property>
  <property fmtid="{D5CDD505-2E9C-101B-9397-08002B2CF9AE}" pid="14" name="VS Team System Data DO NOT EDIT7">
    <vt:lpwstr>sJm4toNUiEiQZAKQ+GJ5SuM27V/jedNFP7sCh+2HDNFVKGF5RaM292Cus7nJCCkJEGFEpaFPO4ddVrT6JVGvA7uxo0hVkgGwBPmLikhFJJYpvG43TSukTyDXjuvOZYNMh8WIq0nnSEOTjPp3HRx5lhGynxYsqzOF+LkNPk2Q2lzLItlPixUWucLCaY1+TbDaXMsA2Y+LFRa5wsJqDX5NkJq9gzJumHAffmuvRe6TQ9+sL/8mFJgyRKT1JQr8edA</vt:lpwstr>
  </property>
  <property fmtid="{D5CDD505-2E9C-101B-9397-08002B2CF9AE}" pid="15" name="VS Team System Data DO NOT EDIT8">
    <vt:lpwstr>sncYcO8FDY9Hni9NXO/HkxsYq37kLJ5ywXBhUkorWxbL0jH4uX22LCRL1dyyjSyVNccygebDIqN1vpB6hSbfWXMHY2XlZr0jiNIR5SXzb4+hHyRmu711HzNxIskrTJGMJAbcw0hSGy4Ai6kBqMJrKMWsXXEocHmGrhzDsrBsWKt/eDdTpbeHMIZXtwphXbsEyl046iwH5aWBwOSDqCrU+fn2EutiX/YJW6zi/7jBsws5RYqowgjrJl8OrG8Nw+T</vt:lpwstr>
  </property>
  <property fmtid="{D5CDD505-2E9C-101B-9397-08002B2CF9AE}" pid="16" name="VS Team System Data DO NOT EDIT9">
    <vt:lpwstr>WTUGOFJcllbBUzmpZtuU4SA07BXofnqJkYi1a3y7v7qm7vRQBluuAX3Su93KkXapfT12gkH+5x9O/SR1J1jI2lkdp9/YohbvM/+D/BkCVi5JSVtnDWHf5sn82MNzSJ/rq059CjbI7nStVak5StN54AoDICMpaYnmPhgI+/Y2xiXx3D1rLSlBhhuUnGsr49MweIz+MGLqJW0uOSRFV2GHFvO3eXuFN6h+2cr2p+AByn1QQpMJQ2GKFxO3eF0vG9l</vt:lpwstr>
  </property>
  <property fmtid="{D5CDD505-2E9C-101B-9397-08002B2CF9AE}" pid="17" name="VS Team System Data DO NOT EDIT10">
    <vt:lpwstr>OYBtsV5NIUkmTVuDQtG8s5tHs7h6U2BaYxhDbV5jJsLE/Q7u0JluTM9d0maivNjsQKiRsKMfXa5aMfe/6JeX6gsLEqrDDE8iXsob7E3S8/uWVakDJFD+DIxYkiXxl1U5z+Mobb5VLwoQNR4B7OqUAoMEwlCCj8GG4XP2FMij+7ykZayAlOzYoR9tWmRTtrZxpWzRBe4nYVsDRGQmihinXxTYd5VPwk+klCISpUlVXYYSnR6bDKO95Ccu159CTmV</vt:lpwstr>
  </property>
  <property fmtid="{D5CDD505-2E9C-101B-9397-08002B2CF9AE}" pid="18" name="VS Team System Data DO NOT EDIT11">
    <vt:lpwstr>XCVD6DJQUiFQkoYhTGWUp0Oq79bHU+ul1zHMY1joGeRQZAahkTWsZD8RAYMcaVCZmb+Sr7+DGgEoMt4hp4vCr5yJFJBKayR8o8MGM76txBuUkVyHhkwnCpQFWvWV6eRHdONeh7nAW5lnTP/BHDFajiXSApnpAuXAQM4ZzoWPtIiF9cmIx0L6cJlwAOtXhHhBy6skG1ZSyR30zHU8ZvjW3TLHzeFRCzzRIEkr1BFcj4Z8JlUgcuq0NUurzXHMjDm</vt:lpwstr>
  </property>
  <property fmtid="{D5CDD505-2E9C-101B-9397-08002B2CF9AE}" pid="19" name="VS Team System Data DO NOT EDIT12">
    <vt:lpwstr>wwyMelMKpDqi2ZTSqI5wLIyBTQJ34HHNVhk466AQ1gw7cM7J6RkZDnDDG7oXxLLUvE2WNlbVlj2gaiuPp1SjaD4nR0h7q4ywebivhxyQIg5dDjlfQXhKNpfWV/A4SIY+A25lVSudFNHLM5pueABT13TDHwJraxomXdXYidAOjW7SvfGWbLs2MmkS7kiJoAyswMoB9Utn1spX2DE8HShTE7xvyLiWLQUsJQApEWS2S6zs5XJYPez67XhKwiNAv8i</vt:lpwstr>
  </property>
  <property fmtid="{D5CDD505-2E9C-101B-9397-08002B2CF9AE}" pid="20" name="VS Team System Data DO NOT EDIT13">
    <vt:lpwstr>SCjOsylfD0L/u5j5IO2q9uW/R5Iq1Z5fDql5VrpCCujrXZjndEiuTuRxW8apyhRTT1bk2SuksrBISa2AJSZ7ouwte/SgMgCGyIudH6jAKY6z833JYcSi7/k7cvfjk/wLopEKaFOIKRaws4HJYPeg6oad4Ez7RUxRuU89oB7XpXg5BNiFRQRS2WFFtQwVJvQEo27192puMW9cPyHNbn9MSy9NcDvM0P4c/xcMCSDJRUsnKThdWisnpn2La3D6IxV</vt:lpwstr>
  </property>
  <property fmtid="{D5CDD505-2E9C-101B-9397-08002B2CF9AE}" pid="21" name="VS Team System Data DO NOT EDIT14">
    <vt:lpwstr>ynfkKBQU1h1woAfTATK73k9E8vNWiCxrDViDYy9iNTX+9ZM7C6J22LSjquVw8UmugtMAgHaUn02ljWnz3Ug+7soGhxMTWtEw5WitDpnyJUduh1yh7CRK6ls1LaoBWEQhRJnTr9M4Oc6F8pjd42HRmjFo5ClmwamSKT/XrOKPLOGgQxTvw2PKRHSMVWNoxcEpdP2wTLi5z0DnnwgitghEoRVWhhKRHD2JT6PMeneyArWVIhheUrTnrPdOCPf0Z3b</vt:lpwstr>
  </property>
  <property fmtid="{D5CDD505-2E9C-101B-9397-08002B2CF9AE}" pid="22" name="VS Team System Data DO NOT EDIT15">
    <vt:lpwstr>0NcoYflHk56T3RgvzyAVSGlkMHy/ya9hx880Tg8vNJt95j5Fj0oANJmhxF/Cixnb9J75gHUlNSVJ02wHLtJ71kHXyN/70PUuyQoR3uxilbsAUUruTv+7D77B2jduCqtMMSKZw8oUMlqyhh0sKeB9/Z4MDcitSh8CYGUELJRhTXuzBkw7iyzib+7h5TyXjDAThWypBRW1hJrVvGAahS+lg9+4u9FBf+GHas9bCJzBUIUFIUwkgI1jSFs3g9JGFHg</vt:lpwstr>
  </property>
  <property fmtid="{D5CDD505-2E9C-101B-9397-08002B2CF9AE}" pid="23" name="VS Team System Data DO NOT EDIT16">
    <vt:lpwstr>ns2ltfvVxprVYQ+Y1VGksxP26Yl6if8KiZM15ZVVxGqyMqTtmyO2j34chxSyU2vCCjWsDmlDvr4e/UsDTxROiBHLEH46BGWfYqmdATM48n3qx6BYQyGmsMJqyJ1DJm1k9ol7uIsT/9jVJN6SCi0wiAKicMZq2R3wSppsJa+5quiwdtrTSpWowg7rtug/eIMHVUSuQGQOQJqUCZNKWuGHZH/b/QdtcH5ZuIVPfAPwy4RJKa3ww7on+r/oRfADLl3</vt:lpwstr>
  </property>
  <property fmtid="{D5CDD505-2E9C-101B-9397-08002B2CF9AE}" pid="24" name="VS Team System Data DO NOT EDIT17">
    <vt:lpwstr>LomHdEIYSPbnv/4l67sEYX2nt+5dEFUZYbwEZMIKqUCJF/0WfhrGWZZOaOPRtY9wBwIpLDxganfdN+0dB1mdL06U+W64JDkHqGDJbrAoEp38FgnQz3u12YWTOx7cQlSSVAiisYK6hfs00v8eNEmCZnpDVFulZWGVslqGMrZ0kj2TytlNokVchr6nxGtk4hd8ct5VpfVQ97GVS5aB63WulsMK8DuQMPtGj6wfs/6ALWALoq/QcrB5PZ0DLSeZhhO</vt:lpwstr>
  </property>
  <property fmtid="{D5CDD505-2E9C-101B-9397-08002B2CF9AE}" pid="25" name="VS Team System Data DO NOT EDIT18">
    <vt:lpwstr>n+5Wu0pdHX3YO7D/wkBRXvCxwigHglpgqlUMcKgTtDTfK/UnEdfN2ts5d7A0PHOQxnnQPpm11NA+7PI97bWpd2+MaNf3z22YGMvBeIU8LliQqgkMUKnTu9TXeJ7Cd2FOMX4KWTCeteEHwGx9bWBQO/ouIijv19QLcbozvS3gcohMmm4Y5YWAECq3+AQNtcA3m/TbO5pvmGGwerxMsZGj5f01faNUKndfCzJCoZCUjvBzFUy+Tb80u4pfxjABcuq</vt:lpwstr>
  </property>
  <property fmtid="{D5CDD505-2E9C-101B-9397-08002B2CF9AE}" pid="26" name="VS Team System Data DO NOT EDIT19">
    <vt:lpwstr>h1bZc2wTNjZwLRVGvE6UIDXJUsqzLDs1tmwdNU6febtIQ8uOy/R3a8TjRLIiOMchmQ4JAPSjDmeYRUtzIYVuGtoQ3r59LSbLxCbYVm5s2EJLQ1tiJbV025qWqwhz1b/Ic9ZTtY9HOBjO4Ww3vvEGvJsDRjyLBKVlPKUMdCSzaX15usMy3ydDSvkf/CDNAGlfWRJhRmWrTobVr+fDzGEUFNEFW5Y1fr9ZzdrZ1VDtE1zVrVG02DZdIYJzu2aBvZm</vt:lpwstr>
  </property>
  <property fmtid="{D5CDD505-2E9C-101B-9397-08002B2CF9AE}" pid="27" name="VS Team System Data DO NOT EDIT20">
    <vt:lpwstr>+EzPaHqlsSaTOv0nk5Y10FxRQNawElSYYU2V6V/d/YnS7bPr/bi8Pp0O+QjtezcNvJdVECdR6lUvnBp2NiU8kgGSBqLyW2CNnek/s1T3W4jYq/TaI9Mv0VI5KP8SWSi3jqf8DlhR+f4TTnW/A3QAj8S9eb/ivCDZ8Hbk4mWOrrnluq3c3232WTtYkz6d/pM+c+10k8Z+QONYVJaZ6LXEMgt5UgEoRJHsBaf/1E8lkBftKTShkgnrxx5gvXze7v/</vt:lpwstr>
  </property>
  <property fmtid="{D5CDD505-2E9C-101B-9397-08002B2CF9AE}" pid="28" name="VS Team System Data DO NOT EDIT">
    <vt:i4>23</vt:i4>
  </property>
  <property fmtid="{D5CDD505-2E9C-101B-9397-08002B2CF9AE}" pid="29" name="VS Team System Data DO NOT EDIT_GUID">
    <vt:lpwstr>76bbc983-28e0-4dd9-9857-9fa190ca46a7</vt:lpwstr>
  </property>
  <property fmtid="{D5CDD505-2E9C-101B-9397-08002B2CF9AE}" pid="30" name="VS Team System Data DO NOT EDIT21">
    <vt:lpwstr>yeZ6dvk6TkNd2bHnxD/TwFRhibJ3WvrUXWHWji95XUIMuaKZrjWxzuquN9fp5u//r5xtU+Xs5YAOya3xlIIU0VlFX/3fQN0gD42Q1xrqImY31Wna7/2vZJbqZ/QCbglVBkFg7CcvGei273f+17Jzrfei5B97Hsg7TCNR+LRCyl/hJGApVrJKo/m9l51R5wc2RJrBC6Jqw8oYXrDjvkJmaVb2ee84cvlxeHzDC6lKwhozRlAbxvbjBHvrqs3wcn4</vt:lpwstr>
  </property>
  <property fmtid="{D5CDD505-2E9C-101B-9397-08002B2CF9AE}" pid="31" name="VS Team System Data DO NOT EDIT22">
    <vt:lpwstr>BoYYsV7R0ySVOwXcWx2SRsLQ6Lm5aghTU50hoyOTIvaO/b1dX+8mEBQCQEheoZ94lhTps1eHBk8aDASXQ5y2Z0xcLqvbCGjI5UKIKHmeUk9WcRI2stcKEaFjhtr9CvuqXEGZtoDR6bmI20hIUBs2mYmmGCWNrUHqBN1a4oYLOQ1BHV7BcyjcA6p62+c6KF1Fb/Mex47URbAEHqrSclCKdW/rdef/g/</vt:lpwstr>
  </property>
  <property fmtid="{D5CDD505-2E9C-101B-9397-08002B2CF9AE}" pid="32" name="MediaServiceImageTags">
    <vt:lpwstr/>
  </property>
</Properties>
</file>